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oa Sen\Project Management\[AUN] TIN452 - SPM\Exercises\W07 - Cost\"/>
    </mc:Choice>
  </mc:AlternateContent>
  <xr:revisionPtr revIDLastSave="0" documentId="13_ncr:1_{318E39F3-6990-4947-8A52-B3F3197555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iPhi-Project" sheetId="1" r:id="rId1"/>
    <sheet name="Estima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E4" i="2"/>
  <c r="E3" i="2"/>
  <c r="E13" i="2"/>
  <c r="E15" i="2" s="1"/>
  <c r="E16" i="2" s="1"/>
  <c r="E17" i="2" s="1"/>
  <c r="E19" i="2" s="1"/>
  <c r="E9" i="2"/>
  <c r="E10" i="2"/>
  <c r="E11" i="2"/>
  <c r="E12" i="2"/>
  <c r="E8" i="2"/>
  <c r="G15" i="1"/>
  <c r="E18" i="1"/>
  <c r="E17" i="1"/>
  <c r="E16" i="1"/>
  <c r="E12" i="1"/>
  <c r="G11" i="1" s="1"/>
  <c r="E10" i="1"/>
  <c r="E9" i="1"/>
  <c r="E6" i="1"/>
  <c r="E5" i="1"/>
  <c r="G8" i="1" l="1"/>
  <c r="E14" i="1" s="1"/>
  <c r="E7" i="1" s="1"/>
  <c r="G4" i="1" l="1"/>
  <c r="E19" i="1"/>
  <c r="G19" i="1" s="1"/>
  <c r="G14" i="1"/>
  <c r="G20" i="1" l="1"/>
  <c r="H8" i="1" l="1"/>
  <c r="H4" i="1"/>
  <c r="H11" i="1"/>
  <c r="H14" i="1"/>
  <c r="H19" i="1"/>
</calcChain>
</file>

<file path=xl/sharedStrings.xml><?xml version="1.0" encoding="utf-8"?>
<sst xmlns="http://schemas.openxmlformats.org/spreadsheetml/2006/main" count="61" uniqueCount="56">
  <si>
    <t># Units/Hrs.</t>
  </si>
  <si>
    <t>Cost/Unit/Hr.</t>
  </si>
  <si>
    <t>Subtotals</t>
  </si>
  <si>
    <t>WBS Level 2</t>
  </si>
  <si>
    <t>Totals</t>
  </si>
  <si>
    <t>% of Total</t>
  </si>
  <si>
    <t>WBS Items</t>
  </si>
  <si>
    <t>1. Project Management</t>
  </si>
  <si>
    <t>Project manager</t>
  </si>
  <si>
    <t>Project team members</t>
  </si>
  <si>
    <t>Contractors (10% of software development and testing)</t>
  </si>
  <si>
    <t>2. Hardware</t>
  </si>
  <si>
    <t>2.1 Handheld devices</t>
  </si>
  <si>
    <t>2.2 Servers</t>
  </si>
  <si>
    <t>3. Software</t>
  </si>
  <si>
    <t>3.1 Licensed software</t>
  </si>
  <si>
    <t>3.2 Software development*</t>
  </si>
  <si>
    <t>4. Testing (10% of total hardware and software costs)</t>
  </si>
  <si>
    <t>5. Training and Support</t>
  </si>
  <si>
    <t>Trainee cost</t>
  </si>
  <si>
    <t>Travel cost</t>
  </si>
  <si>
    <t>6. Reserves (20% of total estimate)</t>
  </si>
  <si>
    <t>Total project cost estimate</t>
  </si>
  <si>
    <t>Calculations</t>
  </si>
  <si>
    <t>1. Labor Estimate</t>
  </si>
  <si>
    <t>Contractor labor estimate</t>
  </si>
  <si>
    <t>Project team member estimate</t>
  </si>
  <si>
    <t>Total labor estimate</t>
  </si>
  <si>
    <t xml:space="preserve">2. Function point estimate** </t>
  </si>
  <si>
    <t xml:space="preserve">Quantity </t>
  </si>
  <si>
    <t>Conversion
Factor</t>
  </si>
  <si>
    <t>Function
Points</t>
  </si>
  <si>
    <t xml:space="preserve">External inputs </t>
  </si>
  <si>
    <t>10 4</t>
  </si>
  <si>
    <t xml:space="preserve">External interface fles </t>
  </si>
  <si>
    <t>3 7</t>
  </si>
  <si>
    <t xml:space="preserve">External outputs </t>
  </si>
  <si>
    <t>4 5</t>
  </si>
  <si>
    <t xml:space="preserve">External queries </t>
  </si>
  <si>
    <t>6 4</t>
  </si>
  <si>
    <t xml:space="preserve">Logical internal tables </t>
  </si>
  <si>
    <t>7 10</t>
  </si>
  <si>
    <t>Total function points</t>
  </si>
  <si>
    <t>Sum above function point
values</t>
  </si>
  <si>
    <t>Java 2 languange equivalency value</t>
  </si>
  <si>
    <t>Assumed value from reference</t>
  </si>
  <si>
    <t xml:space="preserve">Source lines of code (SLOC) estimate </t>
  </si>
  <si>
    <t>175 46</t>
  </si>
  <si>
    <t>Productivity×KSLOC^Penalty
(in months)</t>
  </si>
  <si>
    <t>3.13 8.05^1.072
(see reference)</t>
  </si>
  <si>
    <t xml:space="preserve">Total labor hours (160 hours/month) </t>
  </si>
  <si>
    <t>29.28 160</t>
  </si>
  <si>
    <t xml:space="preserve">Cost/labor hour ($120/hour) </t>
  </si>
  <si>
    <t>Assumed value from
budget expert</t>
  </si>
  <si>
    <t xml:space="preserve">Total function point estimate </t>
  </si>
  <si>
    <t>4684.65 120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</si>
</sst>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6" fontId="0" fillId="0" borderId="1" xfId="0" applyNumberFormat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6" fontId="0" fillId="0" borderId="10" xfId="0" applyNumberFormat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0" fontId="0" fillId="0" borderId="15" xfId="0" applyBorder="1" applyAlignment="1">
      <alignment horizontal="righ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6" fontId="6" fillId="0" borderId="5" xfId="0" applyNumberFormat="1" applyFont="1" applyBorder="1" applyAlignment="1">
      <alignment horizontal="right" vertical="center" wrapText="1"/>
    </xf>
    <xf numFmtId="9" fontId="5" fillId="0" borderId="6" xfId="1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right" vertical="center" wrapText="1"/>
    </xf>
    <xf numFmtId="9" fontId="5" fillId="0" borderId="14" xfId="1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6" fontId="0" fillId="0" borderId="13" xfId="0" applyNumberFormat="1" applyBorder="1" applyAlignment="1">
      <alignment horizontal="right" vertical="center" wrapText="1"/>
    </xf>
    <xf numFmtId="6" fontId="6" fillId="0" borderId="13" xfId="0" applyNumberFormat="1" applyFon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1" fontId="0" fillId="0" borderId="10" xfId="0" applyNumberFormat="1" applyBorder="1" applyAlignment="1">
      <alignment horizontal="right" vertical="center" wrapText="1"/>
    </xf>
    <xf numFmtId="164" fontId="0" fillId="0" borderId="13" xfId="0" applyNumberFormat="1" applyBorder="1" applyAlignment="1">
      <alignment horizontal="right" vertical="center" wrapText="1"/>
    </xf>
    <xf numFmtId="164" fontId="0" fillId="0" borderId="10" xfId="0" applyNumberFormat="1" applyBorder="1" applyAlignment="1">
      <alignment horizontal="right" vertical="center" wrapText="1"/>
    </xf>
    <xf numFmtId="164" fontId="4" fillId="0" borderId="13" xfId="0" applyNumberFormat="1" applyFont="1" applyBorder="1" applyAlignment="1">
      <alignment horizontal="right" vertical="center" wrapText="1"/>
    </xf>
    <xf numFmtId="164" fontId="6" fillId="0" borderId="13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6" fontId="0" fillId="0" borderId="25" xfId="0" applyNumberFormat="1" applyBorder="1" applyAlignment="1">
      <alignment horizontal="center" vertical="center" wrapText="1"/>
    </xf>
    <xf numFmtId="6" fontId="0" fillId="0" borderId="20" xfId="0" applyNumberFormat="1" applyBorder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 wrapText="1"/>
    </xf>
    <xf numFmtId="164" fontId="2" fillId="2" borderId="17" xfId="0" applyNumberFormat="1" applyFont="1" applyFill="1" applyBorder="1" applyAlignment="1">
      <alignment horizontal="center" vertical="center" wrapText="1"/>
    </xf>
    <xf numFmtId="8" fontId="2" fillId="2" borderId="17" xfId="0" applyNumberFormat="1" applyFont="1" applyFill="1" applyBorder="1" applyAlignment="1">
      <alignment horizontal="center" vertical="center" wrapText="1"/>
    </xf>
    <xf numFmtId="164" fontId="0" fillId="2" borderId="10" xfId="0" applyNumberFormat="1" applyFill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0"/>
  <sheetViews>
    <sheetView tabSelected="1" workbookViewId="0">
      <selection activeCell="C27" sqref="C27"/>
    </sheetView>
  </sheetViews>
  <sheetFormatPr defaultColWidth="9.109375" defaultRowHeight="14.4" x14ac:dyDescent="0.3"/>
  <cols>
    <col min="1" max="1" width="9.109375" style="1"/>
    <col min="2" max="2" width="39.5546875" style="1" customWidth="1"/>
    <col min="3" max="7" width="15.6640625" style="1" customWidth="1"/>
    <col min="8" max="16384" width="9.109375" style="1"/>
  </cols>
  <sheetData>
    <row r="1" spans="2:8" ht="15" thickBot="1" x14ac:dyDescent="0.35"/>
    <row r="2" spans="2:8" ht="29.4" thickBot="1" x14ac:dyDescent="0.35">
      <c r="C2" s="15" t="s">
        <v>0</v>
      </c>
      <c r="D2" s="16" t="s">
        <v>1</v>
      </c>
      <c r="E2" s="16" t="s">
        <v>2</v>
      </c>
      <c r="F2" s="16" t="s">
        <v>3</v>
      </c>
      <c r="G2" s="16" t="s">
        <v>4</v>
      </c>
      <c r="H2" s="17" t="s">
        <v>5</v>
      </c>
    </row>
    <row r="3" spans="2:8" ht="15" thickBot="1" x14ac:dyDescent="0.35">
      <c r="B3" s="18" t="s">
        <v>6</v>
      </c>
      <c r="C3" s="14"/>
      <c r="D3" s="14"/>
      <c r="E3" s="14"/>
      <c r="F3" s="14"/>
      <c r="G3" s="14"/>
      <c r="H3" s="14"/>
    </row>
    <row r="4" spans="2:8" x14ac:dyDescent="0.3">
      <c r="B4" s="19" t="s">
        <v>7</v>
      </c>
      <c r="C4" s="5"/>
      <c r="D4" s="5"/>
      <c r="E4" s="5"/>
      <c r="F4" s="5"/>
      <c r="G4" s="21">
        <f>SUM(E5:E7)</f>
        <v>306300</v>
      </c>
      <c r="H4" s="22">
        <f>G4/$G$20</f>
        <v>0.20134889958192001</v>
      </c>
    </row>
    <row r="5" spans="2:8" x14ac:dyDescent="0.3">
      <c r="B5" s="6" t="s">
        <v>8</v>
      </c>
      <c r="C5" s="3">
        <v>960</v>
      </c>
      <c r="D5" s="4">
        <v>100</v>
      </c>
      <c r="E5" s="4">
        <f>PRODUCT(C5:D5)</f>
        <v>96000</v>
      </c>
      <c r="F5" s="3"/>
      <c r="G5" s="3"/>
      <c r="H5" s="23"/>
    </row>
    <row r="6" spans="2:8" x14ac:dyDescent="0.3">
      <c r="B6" s="6" t="s">
        <v>9</v>
      </c>
      <c r="C6" s="3">
        <v>1920</v>
      </c>
      <c r="D6" s="4">
        <v>75</v>
      </c>
      <c r="E6" s="4">
        <f>PRODUCT(C6:D6)</f>
        <v>144000</v>
      </c>
      <c r="F6" s="3"/>
      <c r="G6" s="3"/>
      <c r="H6" s="23"/>
    </row>
    <row r="7" spans="2:8" ht="29.4" thickBot="1" x14ac:dyDescent="0.35">
      <c r="B7" s="7" t="s">
        <v>10</v>
      </c>
      <c r="C7" s="9"/>
      <c r="D7" s="9"/>
      <c r="E7" s="32">
        <f>10%*SUM(E13:E14)</f>
        <v>66300</v>
      </c>
      <c r="F7" s="9"/>
      <c r="G7" s="9"/>
      <c r="H7" s="24"/>
    </row>
    <row r="8" spans="2:8" x14ac:dyDescent="0.3">
      <c r="B8" s="19" t="s">
        <v>11</v>
      </c>
      <c r="C8" s="5"/>
      <c r="D8" s="5"/>
      <c r="E8" s="5"/>
      <c r="F8" s="5"/>
      <c r="G8" s="21">
        <f>SUM(E9:E10)</f>
        <v>76000</v>
      </c>
      <c r="H8" s="22">
        <f>G8/$G$20</f>
        <v>4.9959243774815282E-2</v>
      </c>
    </row>
    <row r="9" spans="2:8" x14ac:dyDescent="0.3">
      <c r="B9" s="6" t="s">
        <v>12</v>
      </c>
      <c r="C9" s="29">
        <v>100</v>
      </c>
      <c r="D9" s="4">
        <v>600</v>
      </c>
      <c r="E9" s="4">
        <f t="shared" ref="E9:E12" si="0">PRODUCT(C9:D9)</f>
        <v>60000</v>
      </c>
      <c r="F9" s="3"/>
      <c r="G9" s="3"/>
      <c r="H9" s="23"/>
    </row>
    <row r="10" spans="2:8" ht="15" thickBot="1" x14ac:dyDescent="0.35">
      <c r="B10" s="7" t="s">
        <v>13</v>
      </c>
      <c r="C10" s="30">
        <v>4</v>
      </c>
      <c r="D10" s="8">
        <v>4000</v>
      </c>
      <c r="E10" s="8">
        <f t="shared" si="0"/>
        <v>16000</v>
      </c>
      <c r="F10" s="9"/>
      <c r="G10" s="9"/>
      <c r="H10" s="24"/>
    </row>
    <row r="11" spans="2:8" x14ac:dyDescent="0.3">
      <c r="B11" s="19" t="s">
        <v>14</v>
      </c>
      <c r="C11" s="5"/>
      <c r="D11" s="5"/>
      <c r="E11" s="5"/>
      <c r="F11" s="5"/>
      <c r="G11" s="21">
        <f>SUM(E12:E13)</f>
        <v>614000</v>
      </c>
      <c r="H11" s="22">
        <f>G11/$G$20</f>
        <v>0.40361810102284978</v>
      </c>
    </row>
    <row r="12" spans="2:8" x14ac:dyDescent="0.3">
      <c r="B12" s="6" t="s">
        <v>15</v>
      </c>
      <c r="C12" s="29">
        <v>100</v>
      </c>
      <c r="D12" s="4">
        <v>200</v>
      </c>
      <c r="E12" s="4">
        <f t="shared" si="0"/>
        <v>20000</v>
      </c>
      <c r="F12" s="3"/>
      <c r="G12" s="3"/>
      <c r="H12" s="23"/>
    </row>
    <row r="13" spans="2:8" ht="15" thickBot="1" x14ac:dyDescent="0.35">
      <c r="B13" s="7" t="s">
        <v>16</v>
      </c>
      <c r="C13" s="9"/>
      <c r="D13" s="9"/>
      <c r="E13" s="59">
        <v>594000</v>
      </c>
      <c r="F13" s="9"/>
      <c r="G13" s="9"/>
      <c r="H13" s="24"/>
    </row>
    <row r="14" spans="2:8" ht="29.4" thickBot="1" x14ac:dyDescent="0.35">
      <c r="B14" s="20" t="s">
        <v>17</v>
      </c>
      <c r="C14" s="10"/>
      <c r="D14" s="10"/>
      <c r="E14" s="27">
        <f>10%*(G8+G11)</f>
        <v>69000</v>
      </c>
      <c r="F14" s="10"/>
      <c r="G14" s="28">
        <f>E14</f>
        <v>69000</v>
      </c>
      <c r="H14" s="25">
        <f>G14/$G$20</f>
        <v>4.5357734479766508E-2</v>
      </c>
    </row>
    <row r="15" spans="2:8" x14ac:dyDescent="0.3">
      <c r="B15" s="19" t="s">
        <v>18</v>
      </c>
      <c r="C15" s="5"/>
      <c r="D15" s="5"/>
      <c r="E15" s="5"/>
      <c r="F15" s="5"/>
      <c r="G15" s="21">
        <f>SUM(E16:E18)</f>
        <v>202400</v>
      </c>
      <c r="H15" s="26"/>
    </row>
    <row r="16" spans="2:8" x14ac:dyDescent="0.3">
      <c r="B16" s="6" t="s">
        <v>19</v>
      </c>
      <c r="C16" s="29">
        <v>100</v>
      </c>
      <c r="D16" s="4">
        <v>500</v>
      </c>
      <c r="E16" s="4">
        <f t="shared" ref="E16:E18" si="1">PRODUCT(C16:D16)</f>
        <v>50000</v>
      </c>
      <c r="F16" s="3"/>
      <c r="G16" s="3"/>
      <c r="H16" s="23"/>
    </row>
    <row r="17" spans="2:8" x14ac:dyDescent="0.3">
      <c r="B17" s="6" t="s">
        <v>20</v>
      </c>
      <c r="C17" s="29">
        <v>12</v>
      </c>
      <c r="D17" s="4">
        <v>700</v>
      </c>
      <c r="E17" s="4">
        <f t="shared" si="1"/>
        <v>8400</v>
      </c>
      <c r="F17" s="3"/>
      <c r="G17" s="3"/>
      <c r="H17" s="23"/>
    </row>
    <row r="18" spans="2:8" ht="15" thickBot="1" x14ac:dyDescent="0.35">
      <c r="B18" s="7" t="s">
        <v>9</v>
      </c>
      <c r="C18" s="29">
        <v>1920</v>
      </c>
      <c r="D18" s="8">
        <v>75</v>
      </c>
      <c r="E18" s="4">
        <f t="shared" si="1"/>
        <v>144000</v>
      </c>
      <c r="F18" s="9"/>
      <c r="G18" s="9"/>
      <c r="H18" s="24"/>
    </row>
    <row r="19" spans="2:8" ht="15" thickBot="1" x14ac:dyDescent="0.35">
      <c r="B19" s="20" t="s">
        <v>21</v>
      </c>
      <c r="C19" s="10"/>
      <c r="D19" s="10"/>
      <c r="E19" s="31">
        <f>20%*SUM(E4:E18)</f>
        <v>253540</v>
      </c>
      <c r="F19" s="10"/>
      <c r="G19" s="34">
        <f>E19</f>
        <v>253540</v>
      </c>
      <c r="H19" s="25">
        <f>G19/$G$20</f>
        <v>0.16666666666666666</v>
      </c>
    </row>
    <row r="20" spans="2:8" ht="15" thickBot="1" x14ac:dyDescent="0.35">
      <c r="B20" s="11" t="s">
        <v>22</v>
      </c>
      <c r="C20" s="12"/>
      <c r="D20" s="12"/>
      <c r="E20" s="12"/>
      <c r="F20" s="12"/>
      <c r="G20" s="33">
        <f>SUM(G4:G19)</f>
        <v>1521240</v>
      </c>
      <c r="H20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9"/>
  <sheetViews>
    <sheetView workbookViewId="0">
      <selection activeCell="F8" sqref="F8"/>
    </sheetView>
  </sheetViews>
  <sheetFormatPr defaultColWidth="9.109375" defaultRowHeight="14.4" x14ac:dyDescent="0.3"/>
  <cols>
    <col min="1" max="1" width="9.109375" style="1"/>
    <col min="2" max="2" width="39.5546875" style="1" customWidth="1"/>
    <col min="3" max="5" width="15.6640625" style="39" customWidth="1"/>
    <col min="6" max="6" width="42.109375" style="39" customWidth="1"/>
    <col min="7" max="16384" width="9.109375" style="1"/>
  </cols>
  <sheetData>
    <row r="1" spans="2:6" ht="15" thickBot="1" x14ac:dyDescent="0.35"/>
    <row r="2" spans="2:6" ht="15" thickBot="1" x14ac:dyDescent="0.35">
      <c r="B2" s="35" t="s">
        <v>24</v>
      </c>
      <c r="C2" s="15" t="s">
        <v>0</v>
      </c>
      <c r="D2" s="16" t="s">
        <v>1</v>
      </c>
      <c r="E2" s="16" t="s">
        <v>2</v>
      </c>
      <c r="F2" s="16" t="s">
        <v>23</v>
      </c>
    </row>
    <row r="3" spans="2:6" ht="15" thickBot="1" x14ac:dyDescent="0.35">
      <c r="B3" s="36" t="s">
        <v>25</v>
      </c>
      <c r="C3" s="40">
        <v>3000</v>
      </c>
      <c r="D3" s="54">
        <v>150</v>
      </c>
      <c r="E3" s="56">
        <f>PRODUCT(C3:D3)</f>
        <v>450000</v>
      </c>
      <c r="F3" s="41"/>
    </row>
    <row r="4" spans="2:6" ht="15" thickBot="1" x14ac:dyDescent="0.35">
      <c r="B4" s="37" t="s">
        <v>26</v>
      </c>
      <c r="C4" s="39">
        <v>1920</v>
      </c>
      <c r="D4" s="55">
        <v>75</v>
      </c>
      <c r="E4" s="56">
        <f>PRODUCT(C4:D4)</f>
        <v>144000</v>
      </c>
      <c r="F4" s="42"/>
    </row>
    <row r="5" spans="2:6" s="2" customFormat="1" ht="15" thickBot="1" x14ac:dyDescent="0.35">
      <c r="B5" s="38" t="s">
        <v>27</v>
      </c>
      <c r="C5" s="43"/>
      <c r="D5" s="43"/>
      <c r="E5" s="57">
        <f>SUM(E3:E4)</f>
        <v>594000</v>
      </c>
      <c r="F5" s="44"/>
    </row>
    <row r="6" spans="2:6" ht="15" thickBot="1" x14ac:dyDescent="0.35"/>
    <row r="7" spans="2:6" ht="29.4" thickBot="1" x14ac:dyDescent="0.35">
      <c r="B7" s="35" t="s">
        <v>28</v>
      </c>
      <c r="C7" s="15" t="s">
        <v>29</v>
      </c>
      <c r="D7" s="16" t="s">
        <v>30</v>
      </c>
      <c r="E7" s="16" t="s">
        <v>31</v>
      </c>
      <c r="F7" s="16" t="s">
        <v>23</v>
      </c>
    </row>
    <row r="8" spans="2:6" x14ac:dyDescent="0.3">
      <c r="B8" s="36" t="s">
        <v>32</v>
      </c>
      <c r="C8" s="40">
        <v>10</v>
      </c>
      <c r="D8" s="40">
        <v>4</v>
      </c>
      <c r="E8" s="40">
        <f>PRODUCT(C8:D8)</f>
        <v>40</v>
      </c>
      <c r="F8" s="41" t="s">
        <v>33</v>
      </c>
    </row>
    <row r="9" spans="2:6" x14ac:dyDescent="0.3">
      <c r="B9" s="37" t="s">
        <v>34</v>
      </c>
      <c r="C9" s="39">
        <v>3</v>
      </c>
      <c r="D9" s="39">
        <v>7</v>
      </c>
      <c r="E9" s="39">
        <f t="shared" ref="E9:E12" si="0">PRODUCT(C9:D9)</f>
        <v>21</v>
      </c>
      <c r="F9" s="42" t="s">
        <v>35</v>
      </c>
    </row>
    <row r="10" spans="2:6" x14ac:dyDescent="0.3">
      <c r="B10" s="37" t="s">
        <v>36</v>
      </c>
      <c r="C10" s="39">
        <v>4</v>
      </c>
      <c r="D10" s="39">
        <v>5</v>
      </c>
      <c r="E10" s="39">
        <f t="shared" si="0"/>
        <v>20</v>
      </c>
      <c r="F10" s="42" t="s">
        <v>37</v>
      </c>
    </row>
    <row r="11" spans="2:6" x14ac:dyDescent="0.3">
      <c r="B11" s="37" t="s">
        <v>38</v>
      </c>
      <c r="C11" s="39">
        <v>6</v>
      </c>
      <c r="D11" s="39">
        <v>4</v>
      </c>
      <c r="E11" s="39">
        <f t="shared" si="0"/>
        <v>24</v>
      </c>
      <c r="F11" s="42" t="s">
        <v>39</v>
      </c>
    </row>
    <row r="12" spans="2:6" ht="15" thickBot="1" x14ac:dyDescent="0.35">
      <c r="B12" s="45" t="s">
        <v>40</v>
      </c>
      <c r="C12" s="46">
        <v>7</v>
      </c>
      <c r="D12" s="46">
        <v>10</v>
      </c>
      <c r="E12" s="46">
        <f t="shared" si="0"/>
        <v>70</v>
      </c>
      <c r="F12" s="47" t="s">
        <v>41</v>
      </c>
    </row>
    <row r="13" spans="2:6" ht="29.4" thickBot="1" x14ac:dyDescent="0.35">
      <c r="B13" s="38" t="s">
        <v>42</v>
      </c>
      <c r="C13" s="43"/>
      <c r="D13" s="43"/>
      <c r="E13" s="43">
        <f>SUM(E8:E12)</f>
        <v>175</v>
      </c>
      <c r="F13" s="48" t="s">
        <v>43</v>
      </c>
    </row>
    <row r="14" spans="2:6" x14ac:dyDescent="0.3">
      <c r="B14" s="36" t="s">
        <v>44</v>
      </c>
      <c r="C14" s="40"/>
      <c r="D14" s="40"/>
      <c r="E14" s="40">
        <v>46</v>
      </c>
      <c r="F14" s="41" t="s">
        <v>45</v>
      </c>
    </row>
    <row r="15" spans="2:6" x14ac:dyDescent="0.3">
      <c r="B15" s="37" t="s">
        <v>46</v>
      </c>
      <c r="C15" s="49"/>
      <c r="E15" s="50">
        <f>E13*E14</f>
        <v>8050</v>
      </c>
      <c r="F15" s="42" t="s">
        <v>47</v>
      </c>
    </row>
    <row r="16" spans="2:6" ht="28.8" x14ac:dyDescent="0.3">
      <c r="B16" s="37" t="s">
        <v>48</v>
      </c>
      <c r="E16" s="51">
        <f>3.13*(E15/1000)^1.072</f>
        <v>29.279086404245707</v>
      </c>
      <c r="F16" s="42" t="s">
        <v>49</v>
      </c>
    </row>
    <row r="17" spans="2:6" x14ac:dyDescent="0.3">
      <c r="B17" s="37" t="s">
        <v>50</v>
      </c>
      <c r="C17" s="52"/>
      <c r="E17" s="52">
        <f>E16*160</f>
        <v>4684.6538246793134</v>
      </c>
      <c r="F17" s="42" t="s">
        <v>51</v>
      </c>
    </row>
    <row r="18" spans="2:6" ht="29.4" thickBot="1" x14ac:dyDescent="0.35">
      <c r="B18" s="45" t="s">
        <v>52</v>
      </c>
      <c r="C18" s="53"/>
      <c r="D18" s="46"/>
      <c r="E18" s="53">
        <v>120</v>
      </c>
      <c r="F18" s="47" t="s">
        <v>53</v>
      </c>
    </row>
    <row r="19" spans="2:6" ht="15" thickBot="1" x14ac:dyDescent="0.35">
      <c r="B19" s="38" t="s">
        <v>54</v>
      </c>
      <c r="C19" s="43"/>
      <c r="D19" s="43"/>
      <c r="E19" s="58">
        <f>E17*E18</f>
        <v>562158.45896151755</v>
      </c>
      <c r="F19" s="4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ChiPhi-Project</vt:lpstr>
      <vt:lpstr>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tunn7</dc:creator>
  <cp:lastModifiedBy>SON Nguyen Van</cp:lastModifiedBy>
  <dcterms:created xsi:type="dcterms:W3CDTF">2018-11-18T15:14:52Z</dcterms:created>
  <dcterms:modified xsi:type="dcterms:W3CDTF">2026-07-24T06:17:02Z</dcterms:modified>
</cp:coreProperties>
</file>