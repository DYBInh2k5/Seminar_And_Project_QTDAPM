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a Sen\Project Management\"/>
    </mc:Choice>
  </mc:AlternateContent>
  <xr:revisionPtr revIDLastSave="0" documentId="13_ncr:1_{D074DDC3-FD4B-4563-A327-7F937E126029}" xr6:coauthVersionLast="47" xr6:coauthVersionMax="47" xr10:uidLastSave="{00000000-0000-0000-0000-000000000000}"/>
  <bookViews>
    <workbookView xWindow="-108" yWindow="-108" windowWidth="23256" windowHeight="12576" xr2:uid="{1E71F62E-CCC1-41A3-BE73-8F04C42DD365}"/>
  </bookViews>
  <sheets>
    <sheet name="Example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1" l="1"/>
  <c r="B11" i="1"/>
  <c r="B12" i="1"/>
  <c r="C21" i="1"/>
  <c r="D21" i="1"/>
  <c r="E21" i="1"/>
  <c r="F21" i="1"/>
  <c r="B21" i="1"/>
  <c r="C20" i="1"/>
  <c r="D20" i="1"/>
  <c r="E20" i="1"/>
  <c r="F20" i="1"/>
  <c r="B20" i="1"/>
  <c r="B9" i="1"/>
  <c r="G9" i="1" s="1"/>
  <c r="B8" i="1"/>
  <c r="G8" i="1" s="1"/>
  <c r="C9" i="1"/>
  <c r="D9" i="1"/>
  <c r="E9" i="1"/>
  <c r="F9" i="1"/>
  <c r="C8" i="1"/>
  <c r="D8" i="1"/>
  <c r="E8" i="1"/>
  <c r="F8" i="1"/>
  <c r="G17" i="1"/>
  <c r="G16" i="1"/>
  <c r="G5" i="1"/>
  <c r="G4" i="1"/>
  <c r="C18" i="1"/>
  <c r="D18" i="1"/>
  <c r="E18" i="1"/>
  <c r="F18" i="1"/>
  <c r="B18" i="1"/>
  <c r="C6" i="1"/>
  <c r="D6" i="1"/>
  <c r="E6" i="1"/>
  <c r="F6" i="1"/>
  <c r="B6" i="1"/>
  <c r="G21" i="1" l="1"/>
  <c r="G20" i="1"/>
  <c r="B25" i="1" s="1"/>
  <c r="C11" i="1"/>
  <c r="B23" i="1"/>
  <c r="G6" i="1"/>
  <c r="G18" i="1"/>
  <c r="C23" i="1" l="1"/>
</calcChain>
</file>

<file path=xl/sharedStrings.xml><?xml version="1.0" encoding="utf-8"?>
<sst xmlns="http://schemas.openxmlformats.org/spreadsheetml/2006/main" count="30" uniqueCount="19">
  <si>
    <t>Distcount rate</t>
  </si>
  <si>
    <t>Project 1</t>
  </si>
  <si>
    <t>Benefits</t>
  </si>
  <si>
    <t>Cost</t>
  </si>
  <si>
    <t>Year 1</t>
  </si>
  <si>
    <t>Year 2</t>
  </si>
  <si>
    <t>Year 3</t>
  </si>
  <si>
    <t>Year 4</t>
  </si>
  <si>
    <t>Year 5</t>
  </si>
  <si>
    <t>Total</t>
  </si>
  <si>
    <t>Project 2</t>
  </si>
  <si>
    <t>Cash flow</t>
  </si>
  <si>
    <t>NPV</t>
  </si>
  <si>
    <t>Discounted benefits</t>
  </si>
  <si>
    <t>Discounted costs</t>
  </si>
  <si>
    <t>Costs</t>
  </si>
  <si>
    <t>https://www.dinhnghia.com.vn/npv-la-gi-cach-tinh-npv-cong-thuc-chinh-xac/</t>
  </si>
  <si>
    <t xml:space="preserve">ROI </t>
  </si>
  <si>
    <t>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</si>
</sst>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2" borderId="0" xfId="0" applyNumberFormat="1" applyFont="1" applyFill="1"/>
    <xf numFmtId="3" fontId="0" fillId="3" borderId="0" xfId="0" applyNumberFormat="1" applyFill="1"/>
    <xf numFmtId="3" fontId="1" fillId="0" borderId="0" xfId="0" applyNumberFormat="1" applyFont="1"/>
    <xf numFmtId="0" fontId="4" fillId="4" borderId="0" xfId="0" applyFont="1" applyFill="1"/>
    <xf numFmtId="10" fontId="3" fillId="4" borderId="0" xfId="0" applyNumberFormat="1" applyFont="1" applyFill="1"/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1F0F4-63CA-4B2F-8BD0-FC5A0276C0D1}">
  <dimension ref="A1:G30"/>
  <sheetViews>
    <sheetView tabSelected="1" zoomScale="160" zoomScaleNormal="160" workbookViewId="0">
      <selection activeCell="F11" sqref="F11"/>
    </sheetView>
  </sheetViews>
  <sheetFormatPr defaultRowHeight="14.4" x14ac:dyDescent="0.3"/>
  <cols>
    <col min="1" max="1" width="18.33203125" customWidth="1"/>
  </cols>
  <sheetData>
    <row r="1" spans="1:7" x14ac:dyDescent="0.3">
      <c r="A1" t="s">
        <v>0</v>
      </c>
      <c r="B1" s="1">
        <v>0.1</v>
      </c>
    </row>
    <row r="2" spans="1:7" x14ac:dyDescent="0.3">
      <c r="B2">
        <v>1</v>
      </c>
      <c r="C2">
        <v>2</v>
      </c>
      <c r="D2">
        <v>3</v>
      </c>
      <c r="E2">
        <v>4</v>
      </c>
      <c r="F2">
        <v>5</v>
      </c>
    </row>
    <row r="3" spans="1:7" x14ac:dyDescent="0.3">
      <c r="A3" t="s">
        <v>1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</row>
    <row r="4" spans="1:7" x14ac:dyDescent="0.3">
      <c r="A4" t="s">
        <v>2</v>
      </c>
      <c r="B4" s="2">
        <v>0</v>
      </c>
      <c r="C4" s="2">
        <v>2000</v>
      </c>
      <c r="D4" s="2">
        <v>3000</v>
      </c>
      <c r="E4" s="2">
        <v>4000</v>
      </c>
      <c r="F4" s="2">
        <v>5000</v>
      </c>
      <c r="G4" s="2">
        <f>SUM(B4:F4)</f>
        <v>14000</v>
      </c>
    </row>
    <row r="5" spans="1:7" x14ac:dyDescent="0.3">
      <c r="A5" t="s">
        <v>15</v>
      </c>
      <c r="B5" s="2">
        <v>5000</v>
      </c>
      <c r="C5" s="2">
        <v>1000</v>
      </c>
      <c r="D5" s="2">
        <v>1000</v>
      </c>
      <c r="E5" s="2">
        <v>1000</v>
      </c>
      <c r="F5" s="2">
        <v>1000</v>
      </c>
      <c r="G5" s="2">
        <f>SUM(B5:F5)</f>
        <v>9000</v>
      </c>
    </row>
    <row r="6" spans="1:7" x14ac:dyDescent="0.3">
      <c r="A6" t="s">
        <v>11</v>
      </c>
      <c r="B6" s="2">
        <f>B4-B5</f>
        <v>-5000</v>
      </c>
      <c r="C6" s="2">
        <f t="shared" ref="C6:G6" si="0">C4-C5</f>
        <v>1000</v>
      </c>
      <c r="D6" s="2">
        <f t="shared" si="0"/>
        <v>2000</v>
      </c>
      <c r="E6" s="2">
        <f t="shared" si="0"/>
        <v>3000</v>
      </c>
      <c r="F6" s="2">
        <f t="shared" si="0"/>
        <v>4000</v>
      </c>
      <c r="G6" s="2">
        <f t="shared" si="0"/>
        <v>5000</v>
      </c>
    </row>
    <row r="7" spans="1:7" x14ac:dyDescent="0.3">
      <c r="B7" s="2"/>
      <c r="C7" s="4"/>
      <c r="D7" s="4"/>
      <c r="E7" s="4"/>
      <c r="F7" s="4"/>
      <c r="G7" s="2"/>
    </row>
    <row r="8" spans="1:7" x14ac:dyDescent="0.3">
      <c r="A8" t="s">
        <v>13</v>
      </c>
      <c r="B8" s="2">
        <f t="shared" ref="B8:F8" si="1">B4/(1+$B$1)^B2</f>
        <v>0</v>
      </c>
      <c r="C8" s="2">
        <f t="shared" si="1"/>
        <v>1652.8925619834708</v>
      </c>
      <c r="D8" s="2">
        <f t="shared" si="1"/>
        <v>2253.9444027047325</v>
      </c>
      <c r="E8" s="2">
        <f t="shared" si="1"/>
        <v>2732.0538214602821</v>
      </c>
      <c r="F8" s="2">
        <f t="shared" si="1"/>
        <v>3104.6066152957746</v>
      </c>
      <c r="G8" s="2">
        <f>SUM(B8:F8)</f>
        <v>9743.4974014442596</v>
      </c>
    </row>
    <row r="9" spans="1:7" x14ac:dyDescent="0.3">
      <c r="A9" t="s">
        <v>14</v>
      </c>
      <c r="B9" s="2">
        <f t="shared" ref="B9:F9" si="2">B5/(1+$B$1)^B2</f>
        <v>4545.454545454545</v>
      </c>
      <c r="C9" s="2">
        <f t="shared" si="2"/>
        <v>826.44628099173542</v>
      </c>
      <c r="D9" s="2">
        <f t="shared" si="2"/>
        <v>751.31480090157754</v>
      </c>
      <c r="E9" s="2">
        <f t="shared" si="2"/>
        <v>683.01345536507051</v>
      </c>
      <c r="F9" s="2">
        <f t="shared" si="2"/>
        <v>620.92132305915493</v>
      </c>
      <c r="G9" s="2">
        <f>SUM(B9:F9)</f>
        <v>7427.150405772084</v>
      </c>
    </row>
    <row r="10" spans="1:7" x14ac:dyDescent="0.3">
      <c r="B10" s="2"/>
      <c r="C10" s="2"/>
      <c r="D10" s="2"/>
      <c r="E10" s="2"/>
      <c r="F10" s="2"/>
      <c r="G10" s="2"/>
    </row>
    <row r="11" spans="1:7" x14ac:dyDescent="0.3">
      <c r="A11" s="3" t="s">
        <v>12</v>
      </c>
      <c r="B11" s="5">
        <f>NPV(B1,B6:F6)</f>
        <v>2316.346995672176</v>
      </c>
      <c r="C11" s="6">
        <f>G8-G9</f>
        <v>2316.3469956721756</v>
      </c>
      <c r="D11" s="2"/>
      <c r="E11" s="2"/>
      <c r="F11" s="2"/>
      <c r="G11" s="2">
        <f>NPV(B1,B6:F6)</f>
        <v>2316.346995672176</v>
      </c>
    </row>
    <row r="12" spans="1:7" x14ac:dyDescent="0.3">
      <c r="A12" s="8" t="s">
        <v>18</v>
      </c>
      <c r="B12" s="9">
        <f>(G8-G9)/G9</f>
        <v>0.31187560088617611</v>
      </c>
      <c r="C12" s="2"/>
      <c r="D12" s="2"/>
      <c r="E12" s="2"/>
      <c r="F12" s="2"/>
      <c r="G12" s="2"/>
    </row>
    <row r="13" spans="1:7" x14ac:dyDescent="0.3">
      <c r="A13" s="3"/>
      <c r="B13" s="7"/>
      <c r="C13" s="2"/>
      <c r="D13" s="2"/>
      <c r="E13" s="2"/>
      <c r="F13" s="2"/>
      <c r="G13" s="2"/>
    </row>
    <row r="14" spans="1:7" x14ac:dyDescent="0.3"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/>
    </row>
    <row r="15" spans="1:7" x14ac:dyDescent="0.3">
      <c r="A15" t="s">
        <v>10</v>
      </c>
      <c r="B15" s="2" t="s">
        <v>4</v>
      </c>
      <c r="C15" s="2" t="s">
        <v>5</v>
      </c>
      <c r="D15" s="2" t="s">
        <v>6</v>
      </c>
      <c r="E15" s="2" t="s">
        <v>7</v>
      </c>
      <c r="F15" s="2" t="s">
        <v>8</v>
      </c>
      <c r="G15" s="2" t="s">
        <v>9</v>
      </c>
    </row>
    <row r="16" spans="1:7" x14ac:dyDescent="0.3">
      <c r="A16" t="s">
        <v>2</v>
      </c>
      <c r="B16" s="2">
        <v>1000</v>
      </c>
      <c r="C16" s="2">
        <v>2000</v>
      </c>
      <c r="D16" s="2">
        <v>4000</v>
      </c>
      <c r="E16" s="2">
        <v>4000</v>
      </c>
      <c r="F16" s="2">
        <v>4000</v>
      </c>
      <c r="G16" s="2">
        <f>SUM(B16:F16)</f>
        <v>15000</v>
      </c>
    </row>
    <row r="17" spans="1:7" x14ac:dyDescent="0.3">
      <c r="A17" t="s">
        <v>3</v>
      </c>
      <c r="B17" s="2">
        <v>2000</v>
      </c>
      <c r="C17" s="2">
        <v>2000</v>
      </c>
      <c r="D17" s="2">
        <v>2000</v>
      </c>
      <c r="E17" s="2">
        <v>2000</v>
      </c>
      <c r="F17" s="2">
        <v>2000</v>
      </c>
      <c r="G17" s="2">
        <f t="shared" ref="G17:G18" si="3">SUM(B17:F17)</f>
        <v>10000</v>
      </c>
    </row>
    <row r="18" spans="1:7" x14ac:dyDescent="0.3">
      <c r="A18" t="s">
        <v>11</v>
      </c>
      <c r="B18" s="2">
        <f>B16-B17</f>
        <v>-1000</v>
      </c>
      <c r="C18" s="2">
        <f t="shared" ref="C18:F18" si="4">C16-C17</f>
        <v>0</v>
      </c>
      <c r="D18" s="2">
        <f t="shared" si="4"/>
        <v>2000</v>
      </c>
      <c r="E18" s="2">
        <f t="shared" si="4"/>
        <v>2000</v>
      </c>
      <c r="F18" s="2">
        <f t="shared" si="4"/>
        <v>2000</v>
      </c>
      <c r="G18" s="2">
        <f t="shared" si="3"/>
        <v>5000</v>
      </c>
    </row>
    <row r="20" spans="1:7" x14ac:dyDescent="0.3">
      <c r="A20" t="s">
        <v>13</v>
      </c>
      <c r="B20" s="2">
        <f>B16/(1+$B$1)^B14</f>
        <v>909.09090909090901</v>
      </c>
      <c r="C20" s="2">
        <f t="shared" ref="C20:F20" si="5">C16/(1+$B$1)^C14</f>
        <v>1652.8925619834708</v>
      </c>
      <c r="D20" s="2">
        <f t="shared" si="5"/>
        <v>3005.2592036063102</v>
      </c>
      <c r="E20" s="2">
        <f t="shared" si="5"/>
        <v>2732.0538214602821</v>
      </c>
      <c r="F20" s="2">
        <f t="shared" si="5"/>
        <v>2483.6852922366197</v>
      </c>
      <c r="G20" s="2">
        <f>SUM(B20:F20)</f>
        <v>10782.981788377592</v>
      </c>
    </row>
    <row r="21" spans="1:7" x14ac:dyDescent="0.3">
      <c r="A21" t="s">
        <v>14</v>
      </c>
      <c r="B21" s="2">
        <f>B17/(1+$B$1)^B14</f>
        <v>1818.181818181818</v>
      </c>
      <c r="C21" s="2">
        <f t="shared" ref="C21:F21" si="6">C17/(1+$B$1)^C14</f>
        <v>1652.8925619834708</v>
      </c>
      <c r="D21" s="2">
        <f t="shared" si="6"/>
        <v>1502.6296018031551</v>
      </c>
      <c r="E21" s="2">
        <f t="shared" si="6"/>
        <v>1366.026910730141</v>
      </c>
      <c r="F21" s="2">
        <f t="shared" si="6"/>
        <v>1241.8426461183099</v>
      </c>
      <c r="G21" s="2">
        <f>SUM(B21:F21)</f>
        <v>7581.5735388168951</v>
      </c>
    </row>
    <row r="23" spans="1:7" x14ac:dyDescent="0.3">
      <c r="A23" s="3" t="s">
        <v>12</v>
      </c>
      <c r="B23" s="5">
        <f>NPV(B1,B18:F18)</f>
        <v>3201.4082495606972</v>
      </c>
      <c r="C23" s="6">
        <f>G20-G21</f>
        <v>3201.4082495606972</v>
      </c>
    </row>
    <row r="25" spans="1:7" x14ac:dyDescent="0.3">
      <c r="A25" s="10" t="s">
        <v>17</v>
      </c>
      <c r="B25" s="9">
        <f>(G20-G21)/G21</f>
        <v>0.42226171561481379</v>
      </c>
    </row>
    <row r="30" spans="1:7" x14ac:dyDescent="0.3">
      <c r="A30" t="s">
        <v>16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SON Nguyen Van</cp:lastModifiedBy>
  <dcterms:created xsi:type="dcterms:W3CDTF">2023-08-02T14:34:12Z</dcterms:created>
  <dcterms:modified xsi:type="dcterms:W3CDTF">2024-07-26T02:47:01Z</dcterms:modified>
</cp:coreProperties>
</file>