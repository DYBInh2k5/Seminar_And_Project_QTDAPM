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<sst xmlns="http://schemas.openxmlformats.org/spreadsheetml/2006/main" count="207" uniqueCount="48">
  <si>
    <t>WBS</t>
  </si>
  <si>
    <t>Task Name</t>
  </si>
  <si>
    <t>Duration</t>
  </si>
  <si>
    <t>Start date</t>
  </si>
  <si>
    <t>Finish Date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</si>
  <si>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</si>
  <si>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</si>
  <si>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</si>
  <si>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</si>
  <si>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</si>
  <si>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</si>
  <si>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</si>
  <si>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</si>
  <si>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</si>
  <si>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</si>
  <si>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</si>
  <si>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</si>
  <si>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</si>
  <si>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</si>
  <si>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</si>
  <si>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T2</t>
  </si>
  <si>
    <t>T3</t>
  </si>
  <si>
    <t>T4</t>
  </si>
  <si>
    <t>T5</t>
  </si>
  <si>
    <t>T6</t>
  </si>
  <si>
    <t>PROJECT OVERVIEW</t>
  </si>
  <si>
    <t>Project Introduction</t>
  </si>
  <si>
    <t>█</t>
  </si>
  <si>
    <t>Business objective</t>
  </si>
  <si>
    <t>SWOT Analysis</t>
  </si>
  <si>
    <t>Expected Benefits</t>
  </si>
  <si>
    <t>Budget estimate and financial analysis</t>
  </si>
  <si>
    <t>INITIATING</t>
  </si>
  <si>
    <t>Stakeholder identification</t>
  </si>
  <si>
    <t>Project Charter</t>
  </si>
  <si>
    <t>Kick-off Meeting</t>
  </si>
  <si>
    <t>PLANNING</t>
  </si>
  <si>
    <t>EXECUTING</t>
  </si>
  <si>
    <t>Requirements Gathering</t>
  </si>
  <si>
    <t>User Inputs Documentation</t>
  </si>
  <si>
    <t>Course Portal Content Development</t>
  </si>
  <si>
    <t>Course Portal Design (UI/UX)</t>
  </si>
  <si>
    <t>Course Portal Construction (Development &amp; Database Setup)</t>
  </si>
  <si>
    <t>Course Portal Testing (Functional, Performance, Security)</t>
  </si>
  <si>
    <t>Course Portal Promotion (Marketing Campaigns)</t>
  </si>
  <si>
    <t>Course Portal Roll-out &amp; 3.9 Benefits Realization</t>
  </si>
  <si>
    <t>MONITORING AND CONTROLLING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</si>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</sst>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0" borderId="2" xfId="0" applyFont="1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">
    <dxf>
      <font>
        <color rgb="FF1D4ED8"/>
      </font>
      <fill>
        <patternFill patternType="solid">
          <fgColor rgb="FF1D4ED8"/>
          <bgColor rgb="FF1D4E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25"/>
  <sheetViews>
    <sheetView workbookViewId="0" zoomScale="100" zoomScaleNormal="100">
      <selection activeCell="K4" sqref="K4"/>
    </sheetView>
  </sheetViews>
  <sheetFormatPr defaultRowHeight="15" outlineLevelRow="0" outlineLevelCol="0" x14ac:dyDescent="0.25"/>
  <cols>
    <col min="1" max="1" width="5.28515625" customWidth="1"/>
    <col min="2" max="2" width="37.28515625" customWidth="1"/>
    <col min="3" max="3" width="8" style="1" customWidth="1"/>
    <col min="4" max="4" width="11.42578125" customWidth="1"/>
    <col min="5" max="5" width="12.7109375" customWidth="1"/>
    <col min="6" max="80" width="9.7109375" customWidth="1"/>
  </cols>
  <sheetData>
    <row r="1" spans="6:80" x14ac:dyDescent="0.25">
      <c r="F1" s="2">
        <v>46237</v>
      </c>
      <c r="G1" s="2">
        <f>F1+1</f>
        <v>46238</v>
      </c>
      <c r="H1" s="2">
        <f>G1+1</f>
        <v>46239</v>
      </c>
      <c r="I1" s="2">
        <f>H1+1</f>
        <v>46240</v>
      </c>
      <c r="J1" s="2">
        <f>I1+1</f>
        <v>46241</v>
      </c>
      <c r="K1" s="2">
        <f>J1+3</f>
        <v>46244</v>
      </c>
      <c r="L1" s="2">
        <f>K1+1</f>
        <v>46245</v>
      </c>
      <c r="M1" s="2">
        <f>L1+1</f>
        <v>46246</v>
      </c>
      <c r="N1" s="2">
        <f>M1+1</f>
        <v>46247</v>
      </c>
      <c r="O1" s="2">
        <f>N1+1</f>
        <v>46248</v>
      </c>
      <c r="P1" s="2">
        <f>O1+3</f>
        <v>46251</v>
      </c>
      <c r="Q1" s="2">
        <f>P1+1</f>
        <v>46252</v>
      </c>
      <c r="R1" s="2">
        <f>Q1+1</f>
        <v>46253</v>
      </c>
      <c r="S1" s="2">
        <f>R1+1</f>
        <v>46254</v>
      </c>
      <c r="T1" s="2">
        <f>S1+1</f>
        <v>46255</v>
      </c>
      <c r="U1" s="2">
        <f>T1+3</f>
        <v>46258</v>
      </c>
      <c r="V1" s="2">
        <f>U1+1</f>
        <v>46259</v>
      </c>
      <c r="W1" s="2">
        <f>V1+1</f>
        <v>46260</v>
      </c>
      <c r="X1" s="2">
        <f>W1+1</f>
        <v>46261</v>
      </c>
      <c r="Y1" s="2">
        <f>X1+1</f>
        <v>46262</v>
      </c>
      <c r="Z1" s="2">
        <f>Y1+3</f>
        <v>46265</v>
      </c>
      <c r="AA1" s="2">
        <f>Z1+1</f>
        <v>46266</v>
      </c>
      <c r="AB1" s="2">
        <f>AA1+1</f>
        <v>46267</v>
      </c>
      <c r="AC1" s="2">
        <f>AB1+1</f>
        <v>46268</v>
      </c>
      <c r="AD1" s="2">
        <f>AC1+1</f>
        <v>46269</v>
      </c>
      <c r="AE1" s="2">
        <f>AD1+3</f>
        <v>46272</v>
      </c>
      <c r="AF1" s="2">
        <f>AE1+1</f>
        <v>46273</v>
      </c>
      <c r="AG1" s="2">
        <f>AF1+1</f>
        <v>46274</v>
      </c>
      <c r="AH1" s="2">
        <f>AG1+1</f>
        <v>46275</v>
      </c>
      <c r="AI1" s="2">
        <f>AH1+1</f>
        <v>46276</v>
      </c>
      <c r="AJ1" s="2">
        <f>AI1+3</f>
        <v>46279</v>
      </c>
      <c r="AK1" s="2">
        <f>AJ1+1</f>
        <v>46280</v>
      </c>
      <c r="AL1" s="2">
        <f>AK1+1</f>
        <v>46281</v>
      </c>
      <c r="AM1" s="2">
        <f>AL1+1</f>
        <v>46282</v>
      </c>
      <c r="AN1" s="2">
        <f>AM1+1</f>
        <v>46283</v>
      </c>
      <c r="AO1" s="2">
        <f>AN1+3</f>
        <v>46286</v>
      </c>
      <c r="AP1" s="2">
        <f>AO1+1</f>
        <v>46287</v>
      </c>
      <c r="AQ1" s="2">
        <f>AP1+1</f>
        <v>46288</v>
      </c>
      <c r="AR1" s="2">
        <f>AQ1+1</f>
        <v>46289</v>
      </c>
      <c r="AS1" s="2">
        <f>AR1+1</f>
        <v>46290</v>
      </c>
      <c r="AT1" s="2">
        <f>AS1+3</f>
        <v>46293</v>
      </c>
      <c r="AU1" s="2">
        <f>AT1+1</f>
        <v>46294</v>
      </c>
      <c r="AV1" s="2">
        <f>AU1+1</f>
        <v>46295</v>
      </c>
      <c r="AW1" s="2">
        <f>AV1+1</f>
        <v>46296</v>
      </c>
      <c r="AX1" s="2">
        <f>AW1+1</f>
        <v>46297</v>
      </c>
      <c r="AY1" s="2">
        <f>AX1+3</f>
        <v>46300</v>
      </c>
      <c r="AZ1" s="2">
        <f>AY1+1</f>
        <v>46301</v>
      </c>
      <c r="BA1" s="2">
        <f>AZ1+1</f>
        <v>46302</v>
      </c>
      <c r="BB1" s="2">
        <f>BA1+1</f>
        <v>46303</v>
      </c>
      <c r="BC1" s="2">
        <f>BB1+1</f>
        <v>46304</v>
      </c>
      <c r="BD1" s="2">
        <f>BC1+3</f>
        <v>46307</v>
      </c>
      <c r="BE1" s="2">
        <f>BD1+1</f>
        <v>46308</v>
      </c>
      <c r="BF1" s="2">
        <f>BE1+1</f>
        <v>46309</v>
      </c>
      <c r="BG1" s="2">
        <f>BF1+1</f>
        <v>46310</v>
      </c>
      <c r="BH1" s="2">
        <f>BG1+1</f>
        <v>46311</v>
      </c>
      <c r="BI1" s="2">
        <f>BH1+3</f>
        <v>46314</v>
      </c>
      <c r="BJ1" s="2">
        <f>BI1+1</f>
        <v>46315</v>
      </c>
      <c r="BK1" s="2">
        <f>BJ1+1</f>
        <v>46316</v>
      </c>
      <c r="BL1" s="2">
        <f>BK1+1</f>
        <v>46317</v>
      </c>
      <c r="BM1" s="2">
        <f>BL1+1</f>
        <v>46318</v>
      </c>
      <c r="BN1" s="2">
        <f>BM1+3</f>
        <v>46321</v>
      </c>
      <c r="BO1" s="2">
        <f>BN1+1</f>
        <v>46322</v>
      </c>
      <c r="BP1" s="2">
        <f>BO1+1</f>
        <v>46323</v>
      </c>
      <c r="BQ1" s="2">
        <f>BP1+1</f>
        <v>46324</v>
      </c>
      <c r="BR1" s="2">
        <f>BQ1+1</f>
        <v>46325</v>
      </c>
      <c r="BS1" s="2">
        <f>BR1+3</f>
        <v>46328</v>
      </c>
      <c r="BT1" s="2">
        <f>BS1+1</f>
        <v>46329</v>
      </c>
      <c r="BU1" s="2">
        <f>BT1+1</f>
        <v>46330</v>
      </c>
      <c r="BV1" s="2">
        <f>BU1+1</f>
        <v>46331</v>
      </c>
      <c r="BW1" s="2">
        <f>BV1+1</f>
        <v>46332</v>
      </c>
      <c r="BX1" s="2">
        <f>BW1+3</f>
        <v>46335</v>
      </c>
      <c r="BY1" s="2">
        <f>BX1+1</f>
        <v>46336</v>
      </c>
      <c r="BZ1" s="2">
        <f>BY1+1</f>
        <v>46337</v>
      </c>
      <c r="CA1" s="2">
        <f>BZ1+1</f>
        <v>46338</v>
      </c>
      <c r="CB1" s="2">
        <f>CA1+1</f>
        <v>46339</v>
      </c>
    </row>
    <row r="2" spans="1:80" s="3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/>
      <c r="H2" s="5"/>
      <c r="I2" s="5"/>
      <c r="J2" s="5"/>
      <c r="K2" s="5" t="s">
        <v>6</v>
      </c>
      <c r="L2" s="5"/>
      <c r="M2" s="5"/>
      <c r="N2" s="5"/>
      <c r="O2" s="5"/>
      <c r="P2" s="5" t="s">
        <v>7</v>
      </c>
      <c r="Q2" s="5"/>
      <c r="R2" s="5"/>
      <c r="S2" s="5"/>
      <c r="T2" s="5"/>
      <c r="U2" s="5" t="s">
        <v>8</v>
      </c>
      <c r="V2" s="5"/>
      <c r="W2" s="5"/>
      <c r="X2" s="5"/>
      <c r="Y2" s="5"/>
      <c r="Z2" s="5" t="s">
        <v>9</v>
      </c>
      <c r="AA2" s="5"/>
      <c r="AB2" s="5"/>
      <c r="AC2" s="5"/>
      <c r="AD2" s="5"/>
      <c r="AE2" s="5" t="s">
        <v>10</v>
      </c>
      <c r="AF2" s="5"/>
      <c r="AG2" s="5"/>
      <c r="AH2" s="5"/>
      <c r="AI2" s="5"/>
      <c r="AJ2" s="5" t="s">
        <v>11</v>
      </c>
      <c r="AK2" s="5"/>
      <c r="AL2" s="5"/>
      <c r="AM2" s="5"/>
      <c r="AN2" s="5"/>
      <c r="AO2" s="5" t="s">
        <v>12</v>
      </c>
      <c r="AP2" s="5"/>
      <c r="AQ2" s="5"/>
      <c r="AR2" s="5"/>
      <c r="AS2" s="5"/>
      <c r="AT2" s="5" t="s">
        <v>13</v>
      </c>
      <c r="AU2" s="5"/>
      <c r="AV2" s="5"/>
      <c r="AW2" s="5"/>
      <c r="AX2" s="5"/>
      <c r="AY2" s="5" t="s">
        <v>14</v>
      </c>
      <c r="AZ2" s="5"/>
      <c r="BA2" s="5"/>
      <c r="BB2" s="5"/>
      <c r="BC2" s="5"/>
      <c r="BD2" s="5" t="s">
        <v>15</v>
      </c>
      <c r="BE2" s="5"/>
      <c r="BF2" s="5"/>
      <c r="BG2" s="5"/>
      <c r="BH2" s="5"/>
      <c r="BI2" s="5" t="s">
        <v>16</v>
      </c>
      <c r="BJ2" s="5"/>
      <c r="BK2" s="5"/>
      <c r="BL2" s="5"/>
      <c r="BM2" s="5"/>
      <c r="BN2" s="5" t="s">
        <v>17</v>
      </c>
      <c r="BO2" s="5"/>
      <c r="BP2" s="5"/>
      <c r="BQ2" s="5"/>
      <c r="BR2" s="5"/>
      <c r="BS2" s="5" t="s">
        <v>18</v>
      </c>
      <c r="BT2" s="5"/>
      <c r="BU2" s="5"/>
      <c r="BV2" s="5"/>
      <c r="BW2" s="5"/>
      <c r="BX2" s="5" t="s">
        <v>19</v>
      </c>
      <c r="BY2" s="5"/>
      <c r="BZ2" s="5"/>
      <c r="CA2" s="5"/>
      <c r="CB2" s="5"/>
    </row>
    <row r="3" spans="1:80" s="3" customFormat="1" x14ac:dyDescent="0.25">
      <c r="A3" s="4"/>
      <c r="B3" s="4"/>
      <c r="C3" s="4"/>
      <c r="D3" s="4"/>
      <c r="E3" s="4"/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20</v>
      </c>
      <c r="L3" s="6" t="s">
        <v>21</v>
      </c>
      <c r="M3" s="6" t="s">
        <v>22</v>
      </c>
      <c r="N3" s="6" t="s">
        <v>23</v>
      </c>
      <c r="O3" s="6" t="s">
        <v>24</v>
      </c>
      <c r="P3" s="6" t="s">
        <v>20</v>
      </c>
      <c r="Q3" s="6" t="s">
        <v>21</v>
      </c>
      <c r="R3" s="6" t="s">
        <v>22</v>
      </c>
      <c r="S3" s="6" t="s">
        <v>23</v>
      </c>
      <c r="T3" s="6" t="s">
        <v>24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20</v>
      </c>
      <c r="AA3" s="6" t="s">
        <v>21</v>
      </c>
      <c r="AB3" s="6" t="s">
        <v>22</v>
      </c>
      <c r="AC3" s="6" t="s">
        <v>23</v>
      </c>
      <c r="AD3" s="6" t="s">
        <v>24</v>
      </c>
      <c r="AE3" s="6" t="s">
        <v>20</v>
      </c>
      <c r="AF3" s="6" t="s">
        <v>21</v>
      </c>
      <c r="AG3" s="6" t="s">
        <v>22</v>
      </c>
      <c r="AH3" s="6" t="s">
        <v>23</v>
      </c>
      <c r="AI3" s="6" t="s">
        <v>24</v>
      </c>
      <c r="AJ3" s="6" t="s">
        <v>20</v>
      </c>
      <c r="AK3" s="6" t="s">
        <v>21</v>
      </c>
      <c r="AL3" s="6" t="s">
        <v>22</v>
      </c>
      <c r="AM3" s="6" t="s">
        <v>23</v>
      </c>
      <c r="AN3" s="6" t="s">
        <v>24</v>
      </c>
      <c r="AO3" s="6" t="s">
        <v>20</v>
      </c>
      <c r="AP3" s="6" t="s">
        <v>21</v>
      </c>
      <c r="AQ3" s="6" t="s">
        <v>22</v>
      </c>
      <c r="AR3" s="6" t="s">
        <v>23</v>
      </c>
      <c r="AS3" s="6" t="s">
        <v>24</v>
      </c>
      <c r="AT3" s="6" t="s">
        <v>20</v>
      </c>
      <c r="AU3" s="6" t="s">
        <v>21</v>
      </c>
      <c r="AV3" s="6" t="s">
        <v>22</v>
      </c>
      <c r="AW3" s="6" t="s">
        <v>23</v>
      </c>
      <c r="AX3" s="6" t="s">
        <v>24</v>
      </c>
      <c r="AY3" s="6" t="s">
        <v>20</v>
      </c>
      <c r="AZ3" s="6" t="s">
        <v>21</v>
      </c>
      <c r="BA3" s="6" t="s">
        <v>22</v>
      </c>
      <c r="BB3" s="6" t="s">
        <v>23</v>
      </c>
      <c r="BC3" s="6" t="s">
        <v>24</v>
      </c>
      <c r="BD3" s="6" t="s">
        <v>20</v>
      </c>
      <c r="BE3" s="6" t="s">
        <v>21</v>
      </c>
      <c r="BF3" s="6" t="s">
        <v>22</v>
      </c>
      <c r="BG3" s="6" t="s">
        <v>23</v>
      </c>
      <c r="BH3" s="6" t="s">
        <v>24</v>
      </c>
      <c r="BI3" s="6" t="s">
        <v>20</v>
      </c>
      <c r="BJ3" s="6" t="s">
        <v>21</v>
      </c>
      <c r="BK3" s="6" t="s">
        <v>22</v>
      </c>
      <c r="BL3" s="6" t="s">
        <v>23</v>
      </c>
      <c r="BM3" s="6" t="s">
        <v>24</v>
      </c>
      <c r="BN3" s="6" t="s">
        <v>20</v>
      </c>
      <c r="BO3" s="6" t="s">
        <v>21</v>
      </c>
      <c r="BP3" s="6" t="s">
        <v>22</v>
      </c>
      <c r="BQ3" s="6" t="s">
        <v>23</v>
      </c>
      <c r="BR3" s="6" t="s">
        <v>24</v>
      </c>
      <c r="BS3" s="6" t="s">
        <v>20</v>
      </c>
      <c r="BT3" s="6" t="s">
        <v>21</v>
      </c>
      <c r="BU3" s="6" t="s">
        <v>22</v>
      </c>
      <c r="BV3" s="6" t="s">
        <v>23</v>
      </c>
      <c r="BW3" s="6" t="s">
        <v>24</v>
      </c>
      <c r="BX3" s="6" t="s">
        <v>20</v>
      </c>
      <c r="BY3" s="6" t="s">
        <v>21</v>
      </c>
      <c r="BZ3" s="6" t="s">
        <v>22</v>
      </c>
      <c r="CA3" s="6" t="s">
        <v>23</v>
      </c>
      <c r="CB3" s="6" t="s">
        <v>24</v>
      </c>
    </row>
    <row r="4" spans="1:80" x14ac:dyDescent="0.25">
      <c r="A4" s="7"/>
      <c r="B4" s="6" t="s">
        <v>25</v>
      </c>
      <c r="C4" s="5">
        <f>E4-D4</f>
        <v>7</v>
      </c>
      <c r="D4" s="8">
        <f>MIN(D5:D9)</f>
        <v>46218</v>
      </c>
      <c r="E4" s="8">
        <f>MAX(E5:E9)</f>
        <v>46225</v>
      </c>
      <c r="F4" s="2" t="str">
        <f t="shared" ref="F4:AK4" si="0">IF(AND(F$1&gt;=$D4,F$1&lt;=$E4),"█","")</f>
        <v>█</v>
      </c>
      <c r="G4" s="2" t="str">
        <f t="shared" si="0"/>
        <v>█</v>
      </c>
      <c r="H4" s="2" t="str">
        <f t="shared" si="0"/>
        <v>█</v>
      </c>
      <c r="I4" s="2" t="str">
        <f t="shared" si="0"/>
        <v>█</v>
      </c>
      <c r="J4" s="2" t="str">
        <f t="shared" si="0"/>
        <v>█</v>
      </c>
      <c r="K4" s="2" t="str">
        <f t="shared" si="0"/>
        <v>█</v>
      </c>
      <c r="L4" s="2">
        <f t="shared" si="0"/>
      </c>
      <c r="M4" s="2">
        <f t="shared" si="0"/>
      </c>
      <c r="N4" s="2">
        <f t="shared" si="0"/>
      </c>
      <c r="O4" s="2">
        <f t="shared" si="0"/>
      </c>
      <c r="P4" s="2">
        <f t="shared" si="0"/>
      </c>
      <c r="Q4" s="2">
        <f t="shared" si="0"/>
      </c>
      <c r="R4" s="2">
        <f t="shared" si="0"/>
      </c>
      <c r="S4" s="2">
        <f t="shared" si="0"/>
      </c>
      <c r="T4" s="2">
        <f t="shared" si="0"/>
      </c>
      <c r="U4" s="2">
        <f t="shared" si="0"/>
      </c>
      <c r="V4" s="2">
        <f t="shared" si="0"/>
      </c>
      <c r="W4" s="2">
        <f t="shared" si="0"/>
      </c>
      <c r="X4" s="2">
        <f t="shared" si="0"/>
      </c>
      <c r="Y4" s="2">
        <f t="shared" si="0"/>
      </c>
      <c r="Z4" s="2">
        <f t="shared" si="0"/>
      </c>
      <c r="AA4" s="2">
        <f t="shared" si="0"/>
      </c>
      <c r="AB4" s="2">
        <f t="shared" si="0"/>
      </c>
      <c r="AC4" s="2">
        <f t="shared" si="0"/>
      </c>
      <c r="AD4" s="2">
        <f t="shared" si="0"/>
      </c>
      <c r="AE4" s="2">
        <f t="shared" si="0"/>
      </c>
      <c r="AF4" s="2">
        <f t="shared" si="0"/>
      </c>
      <c r="AG4" s="2">
        <f t="shared" si="0"/>
      </c>
      <c r="AH4" s="2">
        <f t="shared" si="0"/>
      </c>
      <c r="AI4" s="2">
        <f t="shared" si="0"/>
      </c>
      <c r="AJ4" s="2">
        <f t="shared" si="0"/>
      </c>
      <c r="AK4" s="2">
        <f t="shared" si="0"/>
      </c>
      <c r="AL4" s="2">
        <f t="shared" ref="AL4:BQ4" si="1">IF(AND(AL$1&gt;=$D4,AL$1&lt;=$E4),"█","")</f>
      </c>
      <c r="AM4" s="2">
        <f t="shared" si="1"/>
      </c>
      <c r="AN4" s="2">
        <f t="shared" si="1"/>
      </c>
      <c r="AO4" s="2">
        <f t="shared" si="1"/>
      </c>
      <c r="AP4" s="2">
        <f t="shared" si="1"/>
      </c>
      <c r="AQ4" s="2">
        <f t="shared" si="1"/>
      </c>
      <c r="AR4" s="2">
        <f t="shared" si="1"/>
      </c>
      <c r="AS4" s="2">
        <f t="shared" si="1"/>
      </c>
      <c r="AT4" s="2">
        <f t="shared" si="1"/>
      </c>
      <c r="AU4" s="2">
        <f t="shared" si="1"/>
      </c>
      <c r="AV4" s="2">
        <f t="shared" si="1"/>
      </c>
      <c r="AW4" s="2">
        <f t="shared" si="1"/>
      </c>
      <c r="AX4" s="2">
        <f t="shared" si="1"/>
      </c>
      <c r="AY4" s="2">
        <f t="shared" si="1"/>
      </c>
      <c r="AZ4" s="2">
        <f t="shared" si="1"/>
      </c>
      <c r="BA4" s="2">
        <f t="shared" si="1"/>
      </c>
      <c r="BB4" s="2">
        <f t="shared" si="1"/>
      </c>
      <c r="BC4" s="2">
        <f t="shared" si="1"/>
      </c>
      <c r="BD4" s="2">
        <f t="shared" si="1"/>
      </c>
      <c r="BE4" s="2">
        <f t="shared" si="1"/>
      </c>
      <c r="BF4" s="2">
        <f t="shared" si="1"/>
      </c>
      <c r="BG4" s="2">
        <f t="shared" si="1"/>
      </c>
      <c r="BH4" s="2">
        <f t="shared" si="1"/>
      </c>
      <c r="BI4" s="2">
        <f t="shared" si="1"/>
      </c>
      <c r="BJ4" s="2">
        <f t="shared" si="1"/>
      </c>
      <c r="BK4" s="2">
        <f t="shared" si="1"/>
      </c>
      <c r="BL4" s="2">
        <f t="shared" si="1"/>
      </c>
      <c r="BM4" s="2">
        <f t="shared" si="1"/>
      </c>
      <c r="BN4" s="2">
        <f t="shared" si="1"/>
      </c>
      <c r="BO4" s="2">
        <f t="shared" si="1"/>
      </c>
      <c r="BP4" s="2">
        <f t="shared" si="1"/>
      </c>
      <c r="BQ4" s="2">
        <f t="shared" si="1"/>
      </c>
      <c r="BR4" s="2">
        <f t="shared" ref="BR4:CB4" si="2">IF(AND(BR$1&gt;=$D4,BR$1&lt;=$E4),"█","")</f>
      </c>
      <c r="BS4" s="2">
        <f t="shared" si="2"/>
      </c>
      <c r="BT4" s="2">
        <f t="shared" si="2"/>
      </c>
      <c r="BU4" s="2">
        <f t="shared" si="2"/>
      </c>
      <c r="BV4" s="2">
        <f t="shared" si="2"/>
      </c>
      <c r="BW4" s="2">
        <f t="shared" si="2"/>
      </c>
      <c r="BX4" s="2">
        <f t="shared" si="2"/>
      </c>
      <c r="BY4" s="2">
        <f t="shared" si="2"/>
      </c>
      <c r="BZ4" s="2">
        <f t="shared" si="2"/>
      </c>
      <c r="CA4" s="2">
        <f t="shared" si="2"/>
      </c>
      <c r="CB4" s="2">
        <f t="shared" si="2"/>
      </c>
    </row>
    <row r="5" spans="1:80" x14ac:dyDescent="0.25">
      <c r="A5" s="9">
        <v>0.1</v>
      </c>
      <c r="B5" s="2" t="s">
        <v>26</v>
      </c>
      <c r="C5" s="10">
        <f>COUNTIF(F5:CB5,"█")</f>
        <v>2</v>
      </c>
      <c r="D5" s="11">
        <f>IF(C5&gt;0,INDEX(F$1:CB$1,MATCH("█",F5:CB5,0)),"")</f>
        <v>46218</v>
      </c>
      <c r="E5" s="11">
        <f>IF(C5&gt;0,INDEX(F$1:CB$1,MATCH("█",F5:CB5,0)+C5-1),"")</f>
        <v>46219</v>
      </c>
      <c r="F5" s="2" t="s">
        <v>27</v>
      </c>
      <c r="G5" s="2" t="s">
        <v>27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</row>
    <row r="6" spans="1:80" x14ac:dyDescent="0.25">
      <c r="A6" s="9">
        <v>0.2</v>
      </c>
      <c r="B6" s="2" t="s">
        <v>28</v>
      </c>
      <c r="C6" s="10">
        <f>COUNTIF(F6:CB6,"█")</f>
        <v>1</v>
      </c>
      <c r="D6" s="11">
        <f>IF(C6&gt;0,INDEX(F$1:CB$1,MATCH("█",F6:CB6,0)),"")</f>
        <v>46220</v>
      </c>
      <c r="E6" s="11">
        <f>IF(C6&gt;0,INDEX(F$1:CB$1,MATCH("█",F6:CB6,0)+C6-1),"")</f>
        <v>46220</v>
      </c>
      <c r="F6" s="2"/>
      <c r="G6" s="2"/>
      <c r="H6" s="2" t="s">
        <v>27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</row>
    <row r="7" spans="1:80" x14ac:dyDescent="0.25">
      <c r="A7" s="9">
        <v>0.3</v>
      </c>
      <c r="B7" s="2" t="s">
        <v>29</v>
      </c>
      <c r="C7" s="10">
        <f>COUNTIF(F7:CB7,"█")</f>
        <v>2</v>
      </c>
      <c r="D7" s="11">
        <f>IF(C7&gt;0,INDEX(F$1:CB$1,MATCH("█",F7:CB7,0)),"")</f>
        <v>46221</v>
      </c>
      <c r="E7" s="11">
        <f>IF(C7&gt;0,INDEX(F$1:CB$1,MATCH("█",F7:CB7,0)+C7-1),"")</f>
        <v>46222</v>
      </c>
      <c r="F7" s="2"/>
      <c r="G7" s="2"/>
      <c r="H7" s="2"/>
      <c r="I7" s="2" t="s">
        <v>27</v>
      </c>
      <c r="J7" s="2" t="s">
        <v>27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</row>
    <row r="8" spans="1:80" x14ac:dyDescent="0.25">
      <c r="A8" s="9">
        <v>0.4</v>
      </c>
      <c r="B8" s="2" t="s">
        <v>30</v>
      </c>
      <c r="C8" s="10">
        <f>COUNTIF(F8:CB8,"█")</f>
        <v>1</v>
      </c>
      <c r="D8" s="11">
        <f>IF(C8&gt;0,INDEX(F$1:CB$1,MATCH("█",F8:CB8,0)),"")</f>
        <v>46225</v>
      </c>
      <c r="E8" s="11">
        <f>IF(C8&gt;0,INDEX(F$1:CB$1,MATCH("█",F8:CB8,0)+C8-1),"")</f>
        <v>46225</v>
      </c>
      <c r="F8" s="2"/>
      <c r="G8" s="2"/>
      <c r="H8" s="2"/>
      <c r="I8" s="2"/>
      <c r="J8" s="2"/>
      <c r="K8" s="2" t="s">
        <v>27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</row>
    <row r="9" spans="1:80" x14ac:dyDescent="0.25">
      <c r="A9" s="9">
        <v>0.5</v>
      </c>
      <c r="B9" s="2" t="s">
        <v>31</v>
      </c>
      <c r="C9" s="10">
        <f>COUNTIF(F9:CB9,"█")</f>
        <v>3</v>
      </c>
      <c r="D9" s="11">
        <f>IF(C9&gt;0,INDEX(F$1:CB$1,MATCH("█",F9:CB9,0)),"")</f>
        <v>46221</v>
      </c>
      <c r="E9" s="11">
        <f>IF(C9&gt;0,INDEX(F$1:CB$1,MATCH("█",F9:CB9,0)+C9-1),"")</f>
        <v>46225</v>
      </c>
      <c r="F9" s="2"/>
      <c r="G9" s="2"/>
      <c r="H9" s="2"/>
      <c r="I9" s="2" t="s">
        <v>27</v>
      </c>
      <c r="J9" s="2" t="s">
        <v>27</v>
      </c>
      <c r="K9" s="2" t="s">
        <v>27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</row>
    <row r="10" spans="1:80" x14ac:dyDescent="0.25">
      <c r="A10" s="12">
        <v>1</v>
      </c>
      <c r="B10" s="6" t="s">
        <v>32</v>
      </c>
      <c r="C10" s="5">
        <f>E10-D10</f>
        <v>3</v>
      </c>
      <c r="D10" s="8">
        <f>MIN(D11:D13)</f>
        <v>46226</v>
      </c>
      <c r="E10" s="8">
        <f>MAX(E11:E13)</f>
        <v>46229</v>
      </c>
      <c r="F10" s="2">
        <f t="shared" ref="F10:AK10" si="3">IF(AND(F$1&gt;=$D10,F$1&lt;=$E10),"█","")</f>
      </c>
      <c r="G10" s="2">
        <f t="shared" si="3"/>
      </c>
      <c r="H10" s="2">
        <f t="shared" si="3"/>
      </c>
      <c r="I10" s="2">
        <f t="shared" si="3"/>
      </c>
      <c r="J10" s="2">
        <f t="shared" si="3"/>
      </c>
      <c r="K10" s="2">
        <f t="shared" si="3"/>
      </c>
      <c r="L10" s="2" t="str">
        <f t="shared" si="3"/>
        <v>█</v>
      </c>
      <c r="M10" s="2" t="str">
        <f t="shared" si="3"/>
        <v>█</v>
      </c>
      <c r="N10" s="2" t="str">
        <f t="shared" si="3"/>
        <v>█</v>
      </c>
      <c r="O10" s="2" t="str">
        <f t="shared" si="3"/>
        <v>█</v>
      </c>
      <c r="P10" s="2">
        <f t="shared" si="3"/>
      </c>
      <c r="Q10" s="2">
        <f t="shared" si="3"/>
      </c>
      <c r="R10" s="2">
        <f t="shared" si="3"/>
      </c>
      <c r="S10" s="2">
        <f t="shared" si="3"/>
      </c>
      <c r="T10" s="2">
        <f t="shared" si="3"/>
      </c>
      <c r="U10" s="2">
        <f t="shared" si="3"/>
      </c>
      <c r="V10" s="2">
        <f t="shared" si="3"/>
      </c>
      <c r="W10" s="2">
        <f t="shared" si="3"/>
      </c>
      <c r="X10" s="2">
        <f t="shared" si="3"/>
      </c>
      <c r="Y10" s="2">
        <f t="shared" si="3"/>
      </c>
      <c r="Z10" s="2">
        <f t="shared" si="3"/>
      </c>
      <c r="AA10" s="2">
        <f t="shared" si="3"/>
      </c>
      <c r="AB10" s="2">
        <f t="shared" si="3"/>
      </c>
      <c r="AC10" s="2">
        <f t="shared" si="3"/>
      </c>
      <c r="AD10" s="2">
        <f t="shared" si="3"/>
      </c>
      <c r="AE10" s="2">
        <f t="shared" si="3"/>
      </c>
      <c r="AF10" s="2">
        <f t="shared" si="3"/>
      </c>
      <c r="AG10" s="2">
        <f t="shared" si="3"/>
      </c>
      <c r="AH10" s="2">
        <f t="shared" si="3"/>
      </c>
      <c r="AI10" s="2">
        <f t="shared" si="3"/>
      </c>
      <c r="AJ10" s="2">
        <f t="shared" si="3"/>
      </c>
      <c r="AK10" s="2">
        <f t="shared" si="3"/>
      </c>
      <c r="AL10" s="2">
        <f t="shared" ref="AL10:BQ10" si="4">IF(AND(AL$1&gt;=$D10,AL$1&lt;=$E10),"█","")</f>
      </c>
      <c r="AM10" s="2">
        <f t="shared" si="4"/>
      </c>
      <c r="AN10" s="2">
        <f t="shared" si="4"/>
      </c>
      <c r="AO10" s="2">
        <f t="shared" si="4"/>
      </c>
      <c r="AP10" s="2">
        <f t="shared" si="4"/>
      </c>
      <c r="AQ10" s="2">
        <f t="shared" si="4"/>
      </c>
      <c r="AR10" s="2">
        <f t="shared" si="4"/>
      </c>
      <c r="AS10" s="2">
        <f t="shared" si="4"/>
      </c>
      <c r="AT10" s="2">
        <f t="shared" si="4"/>
      </c>
      <c r="AU10" s="2">
        <f t="shared" si="4"/>
      </c>
      <c r="AV10" s="2">
        <f t="shared" si="4"/>
      </c>
      <c r="AW10" s="2">
        <f t="shared" si="4"/>
      </c>
      <c r="AX10" s="2">
        <f t="shared" si="4"/>
      </c>
      <c r="AY10" s="2">
        <f t="shared" si="4"/>
      </c>
      <c r="AZ10" s="2">
        <f t="shared" si="4"/>
      </c>
      <c r="BA10" s="2">
        <f t="shared" si="4"/>
      </c>
      <c r="BB10" s="2">
        <f t="shared" si="4"/>
      </c>
      <c r="BC10" s="2">
        <f t="shared" si="4"/>
      </c>
      <c r="BD10" s="2">
        <f t="shared" si="4"/>
      </c>
      <c r="BE10" s="2">
        <f t="shared" si="4"/>
      </c>
      <c r="BF10" s="2">
        <f t="shared" si="4"/>
      </c>
      <c r="BG10" s="2">
        <f t="shared" si="4"/>
      </c>
      <c r="BH10" s="2">
        <f t="shared" si="4"/>
      </c>
      <c r="BI10" s="2">
        <f t="shared" si="4"/>
      </c>
      <c r="BJ10" s="2">
        <f t="shared" si="4"/>
      </c>
      <c r="BK10" s="2">
        <f t="shared" si="4"/>
      </c>
      <c r="BL10" s="2">
        <f t="shared" si="4"/>
      </c>
      <c r="BM10" s="2">
        <f t="shared" si="4"/>
      </c>
      <c r="BN10" s="2">
        <f t="shared" si="4"/>
      </c>
      <c r="BO10" s="2">
        <f t="shared" si="4"/>
      </c>
      <c r="BP10" s="2">
        <f t="shared" si="4"/>
      </c>
      <c r="BQ10" s="2">
        <f t="shared" si="4"/>
      </c>
      <c r="BR10" s="2">
        <f t="shared" ref="BR10:CB10" si="5">IF(AND(BR$1&gt;=$D10,BR$1&lt;=$E10),"█","")</f>
      </c>
      <c r="BS10" s="2">
        <f t="shared" si="5"/>
      </c>
      <c r="BT10" s="2">
        <f t="shared" si="5"/>
      </c>
      <c r="BU10" s="2">
        <f t="shared" si="5"/>
      </c>
      <c r="BV10" s="2">
        <f t="shared" si="5"/>
      </c>
      <c r="BW10" s="2">
        <f t="shared" si="5"/>
      </c>
      <c r="BX10" s="2">
        <f t="shared" si="5"/>
      </c>
      <c r="BY10" s="2">
        <f t="shared" si="5"/>
      </c>
      <c r="BZ10" s="2">
        <f t="shared" si="5"/>
      </c>
      <c r="CA10" s="2">
        <f t="shared" si="5"/>
      </c>
      <c r="CB10" s="2">
        <f t="shared" si="5"/>
      </c>
    </row>
    <row r="11" spans="1:80" x14ac:dyDescent="0.25">
      <c r="A11" s="9">
        <v>1.1</v>
      </c>
      <c r="B11" s="2" t="s">
        <v>33</v>
      </c>
      <c r="C11" s="10">
        <f>COUNTIF(F11:CB11,"█")</f>
        <v>1</v>
      </c>
      <c r="D11" s="11">
        <f>IF(C11&gt;0,INDEX(F$1:CB$1,MATCH("█",F11:CB11,0)),"")</f>
        <v>46226</v>
      </c>
      <c r="E11" s="11">
        <f>IF(C11&gt;0,INDEX(F$1:CB$1,MATCH("█",F11:CB11,0)+C11-1),"")</f>
        <v>46226</v>
      </c>
      <c r="F11" s="2"/>
      <c r="G11" s="2"/>
      <c r="H11" s="2"/>
      <c r="I11" s="2"/>
      <c r="J11" s="2"/>
      <c r="K11" s="2"/>
      <c r="L11" s="2" t="s">
        <v>27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</row>
    <row r="12" spans="1:80" x14ac:dyDescent="0.25">
      <c r="A12" s="9">
        <v>1.2</v>
      </c>
      <c r="B12" s="2" t="s">
        <v>34</v>
      </c>
      <c r="C12" s="10">
        <f>COUNTIF(F12:CB12,"█")</f>
        <v>2</v>
      </c>
      <c r="D12" s="11">
        <f>IF(C12&gt;0,INDEX(F$1:CB$1,MATCH("█",F12:CB12,0)),"")</f>
        <v>46227</v>
      </c>
      <c r="E12" s="11">
        <f>IF(C12&gt;0,INDEX(F$1:CB$1,MATCH("█",F12:CB12,0)+C12-1),"")</f>
        <v>46228</v>
      </c>
      <c r="F12" s="2"/>
      <c r="G12" s="2"/>
      <c r="H12" s="2"/>
      <c r="I12" s="2"/>
      <c r="J12" s="2"/>
      <c r="K12" s="2"/>
      <c r="L12" s="2"/>
      <c r="M12" s="2" t="s">
        <v>27</v>
      </c>
      <c r="N12" s="2" t="s">
        <v>27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</row>
    <row r="13" spans="1:80" x14ac:dyDescent="0.25">
      <c r="A13" s="13">
        <v>1.3</v>
      </c>
      <c r="B13" s="2" t="s">
        <v>35</v>
      </c>
      <c r="C13" s="10">
        <f>COUNTIF(F13:CB13,"█")</f>
        <v>1</v>
      </c>
      <c r="D13" s="11">
        <f>IF(C13&gt;0,INDEX(F$1:CB$1,MATCH("█",F13:CB13,0)),"")</f>
        <v>46229</v>
      </c>
      <c r="E13" s="11">
        <f>IF(C13&gt;0,INDEX(F$1:CB$1,MATCH("█",F13:CB13,0)+C13-1),"")</f>
        <v>46229</v>
      </c>
      <c r="F13" s="2"/>
      <c r="G13" s="2"/>
      <c r="H13" s="2"/>
      <c r="I13" s="2"/>
      <c r="J13" s="2"/>
      <c r="K13" s="2"/>
      <c r="L13" s="2"/>
      <c r="M13" s="2"/>
      <c r="N13" s="2"/>
      <c r="O13" s="2" t="s">
        <v>27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</row>
    <row r="14" spans="1:80" x14ac:dyDescent="0.25">
      <c r="A14" s="14">
        <v>2</v>
      </c>
      <c r="B14" s="6" t="s">
        <v>36</v>
      </c>
      <c r="C14" s="10">
        <f>COUNTIF(F14:CB14,"█")</f>
        <v>5</v>
      </c>
      <c r="D14" s="11">
        <f>IF(C14&gt;0,INDEX(F$1:CB$1,MATCH("█",F14:CB14,0)),"")</f>
        <v>46232</v>
      </c>
      <c r="E14" s="11">
        <f>IF(C14&gt;0,INDEX(F$1:CB$1,MATCH("█",F14:CB14,0)+C14-1),"")</f>
        <v>46236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 t="s">
        <v>27</v>
      </c>
      <c r="Q14" s="2" t="s">
        <v>27</v>
      </c>
      <c r="R14" s="2" t="s">
        <v>27</v>
      </c>
      <c r="S14" s="2" t="s">
        <v>27</v>
      </c>
      <c r="T14" s="2" t="s">
        <v>27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</row>
    <row r="15" spans="1:80" x14ac:dyDescent="0.25">
      <c r="A15" s="14">
        <v>3</v>
      </c>
      <c r="B15" s="6" t="s">
        <v>37</v>
      </c>
      <c r="C15" s="5">
        <f>E15-D15</f>
        <v>39</v>
      </c>
      <c r="D15" s="8">
        <f>MIN(D16:D23)</f>
        <v>46239</v>
      </c>
      <c r="E15" s="8">
        <f>MAX(E16:E23)</f>
        <v>46278</v>
      </c>
      <c r="F15" s="2">
        <f t="shared" ref="F15:AK15" si="6">IF(AND(F$1&gt;=$D15,F$1&lt;=$E15),"█","")</f>
      </c>
      <c r="G15" s="2">
        <f t="shared" si="6"/>
      </c>
      <c r="H15" s="2">
        <f t="shared" si="6"/>
      </c>
      <c r="I15" s="2">
        <f t="shared" si="6"/>
      </c>
      <c r="J15" s="2">
        <f t="shared" si="6"/>
      </c>
      <c r="K15" s="2">
        <f t="shared" si="6"/>
      </c>
      <c r="L15" s="2">
        <f t="shared" si="6"/>
      </c>
      <c r="M15" s="2">
        <f t="shared" si="6"/>
      </c>
      <c r="N15" s="2">
        <f t="shared" si="6"/>
      </c>
      <c r="O15" s="2">
        <f t="shared" si="6"/>
      </c>
      <c r="P15" s="2">
        <f t="shared" si="6"/>
      </c>
      <c r="Q15" s="2">
        <f t="shared" si="6"/>
      </c>
      <c r="R15" s="2">
        <f t="shared" si="6"/>
      </c>
      <c r="S15" s="2">
        <f t="shared" si="6"/>
      </c>
      <c r="T15" s="2">
        <f t="shared" si="6"/>
      </c>
      <c r="U15" s="2" t="str">
        <f t="shared" si="6"/>
        <v>█</v>
      </c>
      <c r="V15" s="2" t="str">
        <f t="shared" si="6"/>
        <v>█</v>
      </c>
      <c r="W15" s="2" t="str">
        <f t="shared" si="6"/>
        <v>█</v>
      </c>
      <c r="X15" s="2" t="str">
        <f t="shared" si="6"/>
        <v>█</v>
      </c>
      <c r="Y15" s="2" t="str">
        <f t="shared" si="6"/>
        <v>█</v>
      </c>
      <c r="Z15" s="2" t="str">
        <f t="shared" si="6"/>
        <v>█</v>
      </c>
      <c r="AA15" s="2" t="str">
        <f t="shared" si="6"/>
        <v>█</v>
      </c>
      <c r="AB15" s="2" t="str">
        <f t="shared" si="6"/>
        <v>█</v>
      </c>
      <c r="AC15" s="2" t="str">
        <f t="shared" si="6"/>
        <v>█</v>
      </c>
      <c r="AD15" s="2" t="str">
        <f t="shared" si="6"/>
        <v>█</v>
      </c>
      <c r="AE15" s="2" t="str">
        <f t="shared" si="6"/>
        <v>█</v>
      </c>
      <c r="AF15" s="2" t="str">
        <f t="shared" si="6"/>
        <v>█</v>
      </c>
      <c r="AG15" s="2" t="str">
        <f t="shared" si="6"/>
        <v>█</v>
      </c>
      <c r="AH15" s="2" t="str">
        <f t="shared" si="6"/>
        <v>█</v>
      </c>
      <c r="AI15" s="2" t="str">
        <f t="shared" si="6"/>
        <v>█</v>
      </c>
      <c r="AJ15" s="2" t="str">
        <f t="shared" si="6"/>
        <v>█</v>
      </c>
      <c r="AK15" s="2" t="str">
        <f t="shared" si="6"/>
        <v>█</v>
      </c>
      <c r="AL15" s="2" t="str">
        <f t="shared" ref="AL15:BQ15" si="7">IF(AND(AL$1&gt;=$D15,AL$1&lt;=$E15),"█","")</f>
        <v>█</v>
      </c>
      <c r="AM15" s="2" t="str">
        <f t="shared" si="7"/>
        <v>█</v>
      </c>
      <c r="AN15" s="2" t="str">
        <f t="shared" si="7"/>
        <v>█</v>
      </c>
      <c r="AO15" s="2" t="str">
        <f t="shared" si="7"/>
        <v>█</v>
      </c>
      <c r="AP15" s="2" t="str">
        <f t="shared" si="7"/>
        <v>█</v>
      </c>
      <c r="AQ15" s="2" t="str">
        <f t="shared" si="7"/>
        <v>█</v>
      </c>
      <c r="AR15" s="2" t="str">
        <f t="shared" si="7"/>
        <v>█</v>
      </c>
      <c r="AS15" s="2" t="str">
        <f t="shared" si="7"/>
        <v>█</v>
      </c>
      <c r="AT15" s="2" t="str">
        <f t="shared" si="7"/>
        <v>█</v>
      </c>
      <c r="AU15" s="2" t="str">
        <f t="shared" si="7"/>
        <v>█</v>
      </c>
      <c r="AV15" s="2" t="str">
        <f t="shared" si="7"/>
        <v>█</v>
      </c>
      <c r="AW15" s="2" t="str">
        <f t="shared" si="7"/>
        <v>█</v>
      </c>
      <c r="AX15" s="2" t="str">
        <f t="shared" si="7"/>
        <v>█</v>
      </c>
      <c r="AY15" s="2">
        <f t="shared" si="7"/>
      </c>
      <c r="AZ15" s="2">
        <f t="shared" si="7"/>
      </c>
      <c r="BA15" s="2">
        <f t="shared" si="7"/>
      </c>
      <c r="BB15" s="2">
        <f t="shared" si="7"/>
      </c>
      <c r="BC15" s="2">
        <f t="shared" si="7"/>
      </c>
      <c r="BD15" s="2">
        <f t="shared" si="7"/>
      </c>
      <c r="BE15" s="2">
        <f t="shared" si="7"/>
      </c>
      <c r="BF15" s="2">
        <f t="shared" si="7"/>
      </c>
      <c r="BG15" s="2">
        <f t="shared" si="7"/>
      </c>
      <c r="BH15" s="2">
        <f t="shared" si="7"/>
      </c>
      <c r="BI15" s="2">
        <f t="shared" si="7"/>
      </c>
      <c r="BJ15" s="2">
        <f t="shared" si="7"/>
      </c>
      <c r="BK15" s="2">
        <f t="shared" si="7"/>
      </c>
      <c r="BL15" s="2">
        <f t="shared" si="7"/>
      </c>
      <c r="BM15" s="2">
        <f t="shared" si="7"/>
      </c>
      <c r="BN15" s="2">
        <f t="shared" si="7"/>
      </c>
      <c r="BO15" s="2">
        <f t="shared" si="7"/>
      </c>
      <c r="BP15" s="2">
        <f t="shared" si="7"/>
      </c>
      <c r="BQ15" s="2">
        <f t="shared" si="7"/>
      </c>
      <c r="BR15" s="2">
        <f t="shared" ref="BR15:CB15" si="8">IF(AND(BR$1&gt;=$D15,BR$1&lt;=$E15),"█","")</f>
      </c>
      <c r="BS15" s="2">
        <f t="shared" si="8"/>
      </c>
      <c r="BT15" s="2">
        <f t="shared" si="8"/>
      </c>
      <c r="BU15" s="2">
        <f t="shared" si="8"/>
      </c>
      <c r="BV15" s="2">
        <f t="shared" si="8"/>
      </c>
      <c r="BW15" s="2">
        <f t="shared" si="8"/>
      </c>
      <c r="BX15" s="2">
        <f t="shared" si="8"/>
      </c>
      <c r="BY15" s="2">
        <f t="shared" si="8"/>
      </c>
      <c r="BZ15" s="2">
        <f t="shared" si="8"/>
      </c>
      <c r="CA15" s="2">
        <f t="shared" si="8"/>
      </c>
      <c r="CB15" s="2">
        <f t="shared" si="8"/>
      </c>
    </row>
    <row r="16" spans="1:80" x14ac:dyDescent="0.25">
      <c r="A16" s="9">
        <v>3.1</v>
      </c>
      <c r="B16" s="2" t="s">
        <v>38</v>
      </c>
      <c r="C16" s="10">
        <f t="shared" ref="C16:C25" si="9">COUNTIF(F16:CB16,"█")</f>
        <v>3</v>
      </c>
      <c r="D16" s="11">
        <f t="shared" ref="D16:D25" si="10">IF(C16&gt;0,INDEX(F$1:CB$1,MATCH("█",F16:CB16,0)),"")</f>
        <v>46239</v>
      </c>
      <c r="E16" s="11">
        <f t="shared" ref="E16:E25" si="11">IF(C16&gt;0,INDEX(F$1:CB$1,MATCH("█",F16:CB16,0)+C16-1),"")</f>
        <v>46241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27</v>
      </c>
      <c r="V16" s="2" t="s">
        <v>27</v>
      </c>
      <c r="W16" s="2" t="s">
        <v>27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</row>
    <row r="17" spans="1:80" x14ac:dyDescent="0.25">
      <c r="A17" s="9">
        <v>3.2</v>
      </c>
      <c r="B17" s="2" t="s">
        <v>39</v>
      </c>
      <c r="C17" s="10">
        <f t="shared" si="9"/>
        <v>2</v>
      </c>
      <c r="D17" s="11">
        <f t="shared" si="10"/>
        <v>46242</v>
      </c>
      <c r="E17" s="11">
        <f t="shared" si="11"/>
        <v>46243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27</v>
      </c>
      <c r="Y17" s="2" t="s">
        <v>27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</row>
    <row r="18" spans="1:80" x14ac:dyDescent="0.25">
      <c r="A18" s="9">
        <v>3.3</v>
      </c>
      <c r="B18" s="2" t="s">
        <v>40</v>
      </c>
      <c r="C18" s="10">
        <f t="shared" si="9"/>
        <v>4</v>
      </c>
      <c r="D18" s="11">
        <f t="shared" si="10"/>
        <v>46246</v>
      </c>
      <c r="E18" s="11">
        <f t="shared" si="11"/>
        <v>46249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 t="s">
        <v>27</v>
      </c>
      <c r="AA18" s="2" t="s">
        <v>27</v>
      </c>
      <c r="AB18" s="2" t="s">
        <v>27</v>
      </c>
      <c r="AC18" s="2" t="s">
        <v>27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</row>
    <row r="19" spans="1:80" x14ac:dyDescent="0.25">
      <c r="A19" s="9">
        <v>3.4</v>
      </c>
      <c r="B19" s="2" t="s">
        <v>41</v>
      </c>
      <c r="C19" s="10">
        <f t="shared" si="9"/>
        <v>5</v>
      </c>
      <c r="D19" s="11">
        <f t="shared" si="10"/>
        <v>46246</v>
      </c>
      <c r="E19" s="11">
        <f t="shared" si="11"/>
        <v>46250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 t="s">
        <v>27</v>
      </c>
      <c r="AA19" s="2" t="s">
        <v>27</v>
      </c>
      <c r="AB19" s="2" t="s">
        <v>27</v>
      </c>
      <c r="AC19" s="2" t="s">
        <v>27</v>
      </c>
      <c r="AD19" s="2" t="s">
        <v>27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</row>
    <row r="20" spans="1:80" x14ac:dyDescent="0.25">
      <c r="A20" s="9">
        <v>3.5</v>
      </c>
      <c r="B20" s="2" t="s">
        <v>42</v>
      </c>
      <c r="C20" s="10">
        <f t="shared" si="9"/>
        <v>11</v>
      </c>
      <c r="D20" s="11">
        <f t="shared" si="10"/>
        <v>46253</v>
      </c>
      <c r="E20" s="11">
        <f t="shared" si="11"/>
        <v>46267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 t="s">
        <v>27</v>
      </c>
      <c r="AF20" s="2" t="s">
        <v>27</v>
      </c>
      <c r="AG20" s="2" t="s">
        <v>27</v>
      </c>
      <c r="AH20" s="2" t="s">
        <v>27</v>
      </c>
      <c r="AI20" s="2" t="s">
        <v>27</v>
      </c>
      <c r="AJ20" s="2" t="s">
        <v>27</v>
      </c>
      <c r="AK20" s="2" t="s">
        <v>27</v>
      </c>
      <c r="AL20" s="2" t="s">
        <v>27</v>
      </c>
      <c r="AM20" s="2" t="s">
        <v>27</v>
      </c>
      <c r="AN20" s="2" t="s">
        <v>27</v>
      </c>
      <c r="AO20" s="2" t="s">
        <v>27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</row>
    <row r="21" spans="1:80" x14ac:dyDescent="0.25">
      <c r="A21" s="9">
        <v>3.6</v>
      </c>
      <c r="B21" s="2" t="s">
        <v>43</v>
      </c>
      <c r="C21" s="10">
        <f t="shared" si="9"/>
        <v>4</v>
      </c>
      <c r="D21" s="11">
        <f t="shared" si="10"/>
        <v>46268</v>
      </c>
      <c r="E21" s="11">
        <f t="shared" si="11"/>
        <v>46271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 t="s">
        <v>27</v>
      </c>
      <c r="AQ21" s="2" t="s">
        <v>27</v>
      </c>
      <c r="AR21" s="2" t="s">
        <v>27</v>
      </c>
      <c r="AS21" s="2" t="s">
        <v>27</v>
      </c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</row>
    <row r="22" spans="1:80" x14ac:dyDescent="0.25">
      <c r="A22" s="9">
        <v>3.7</v>
      </c>
      <c r="B22" s="2" t="s">
        <v>44</v>
      </c>
      <c r="C22" s="10">
        <f t="shared" si="9"/>
        <v>3</v>
      </c>
      <c r="D22" s="11">
        <f t="shared" si="10"/>
        <v>46274</v>
      </c>
      <c r="E22" s="11">
        <f t="shared" si="11"/>
        <v>46276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 t="s">
        <v>27</v>
      </c>
      <c r="AU22" s="2" t="s">
        <v>27</v>
      </c>
      <c r="AV22" s="2" t="s">
        <v>27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</row>
    <row r="23" spans="1:80" x14ac:dyDescent="0.25">
      <c r="A23" s="9">
        <v>3.8</v>
      </c>
      <c r="B23" s="2" t="s">
        <v>45</v>
      </c>
      <c r="C23" s="10">
        <f t="shared" si="9"/>
        <v>2</v>
      </c>
      <c r="D23" s="11">
        <f t="shared" si="10"/>
        <v>46277</v>
      </c>
      <c r="E23" s="11">
        <f t="shared" si="11"/>
        <v>46278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 t="s">
        <v>27</v>
      </c>
      <c r="AX23" s="2" t="s">
        <v>27</v>
      </c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</row>
    <row r="24" spans="1:80" x14ac:dyDescent="0.25">
      <c r="A24" s="7">
        <v>4</v>
      </c>
      <c r="B24" s="6" t="s">
        <v>46</v>
      </c>
      <c r="C24" s="10">
        <f t="shared" si="9"/>
        <v>35</v>
      </c>
      <c r="D24" s="11">
        <f t="shared" si="10"/>
        <v>46226</v>
      </c>
      <c r="E24" s="11">
        <f t="shared" si="11"/>
        <v>46274</v>
      </c>
      <c r="F24" s="2"/>
      <c r="G24" s="2"/>
      <c r="H24" s="2"/>
      <c r="I24" s="2"/>
      <c r="J24" s="2"/>
      <c r="K24" s="2"/>
      <c r="L24" s="2" t="s">
        <v>27</v>
      </c>
      <c r="M24" s="2" t="s">
        <v>27</v>
      </c>
      <c r="N24" s="2" t="s">
        <v>27</v>
      </c>
      <c r="O24" s="2" t="s">
        <v>27</v>
      </c>
      <c r="P24" s="2" t="s">
        <v>27</v>
      </c>
      <c r="Q24" s="2" t="s">
        <v>27</v>
      </c>
      <c r="R24" s="2" t="s">
        <v>27</v>
      </c>
      <c r="S24" s="2" t="s">
        <v>27</v>
      </c>
      <c r="T24" s="2" t="s">
        <v>27</v>
      </c>
      <c r="U24" s="2" t="s">
        <v>27</v>
      </c>
      <c r="V24" s="2" t="s">
        <v>27</v>
      </c>
      <c r="W24" s="2" t="s">
        <v>27</v>
      </c>
      <c r="X24" s="2" t="s">
        <v>27</v>
      </c>
      <c r="Y24" s="2" t="s">
        <v>27</v>
      </c>
      <c r="Z24" s="2" t="s">
        <v>27</v>
      </c>
      <c r="AA24" s="2" t="s">
        <v>27</v>
      </c>
      <c r="AB24" s="2" t="s">
        <v>27</v>
      </c>
      <c r="AC24" s="2" t="s">
        <v>27</v>
      </c>
      <c r="AD24" s="2" t="s">
        <v>27</v>
      </c>
      <c r="AE24" s="2" t="s">
        <v>27</v>
      </c>
      <c r="AF24" s="2" t="s">
        <v>27</v>
      </c>
      <c r="AG24" s="2" t="s">
        <v>27</v>
      </c>
      <c r="AH24" s="2" t="s">
        <v>27</v>
      </c>
      <c r="AI24" s="2" t="s">
        <v>27</v>
      </c>
      <c r="AJ24" s="2" t="s">
        <v>27</v>
      </c>
      <c r="AK24" s="2" t="s">
        <v>27</v>
      </c>
      <c r="AL24" s="2" t="s">
        <v>27</v>
      </c>
      <c r="AM24" s="2" t="s">
        <v>27</v>
      </c>
      <c r="AN24" s="2" t="s">
        <v>27</v>
      </c>
      <c r="AO24" s="2" t="s">
        <v>27</v>
      </c>
      <c r="AP24" s="2" t="s">
        <v>27</v>
      </c>
      <c r="AQ24" s="2" t="s">
        <v>27</v>
      </c>
      <c r="AR24" s="2" t="s">
        <v>27</v>
      </c>
      <c r="AS24" s="2" t="s">
        <v>27</v>
      </c>
      <c r="AT24" s="2" t="s">
        <v>27</v>
      </c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</row>
    <row r="25" spans="1:80" x14ac:dyDescent="0.25">
      <c r="A25" s="7">
        <v>5</v>
      </c>
      <c r="B25" s="6" t="s">
        <v>47</v>
      </c>
      <c r="C25" s="10">
        <f t="shared" si="9"/>
        <v>3</v>
      </c>
      <c r="D25" s="11">
        <f t="shared" si="10"/>
        <v>46281</v>
      </c>
      <c r="E25" s="11">
        <f t="shared" si="11"/>
        <v>46283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 t="s">
        <v>27</v>
      </c>
      <c r="AZ25" s="2" t="s">
        <v>27</v>
      </c>
      <c r="BA25" s="2" t="s">
        <v>27</v>
      </c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</row>
  </sheetData>
  <mergeCells count="20">
    <mergeCell ref="F2:J2"/>
    <mergeCell ref="K2:O2"/>
    <mergeCell ref="P2:T2"/>
    <mergeCell ref="U2:Y2"/>
    <mergeCell ref="Z2:AD2"/>
    <mergeCell ref="AE2:AI2"/>
    <mergeCell ref="AJ2:AN2"/>
    <mergeCell ref="AO2:AS2"/>
    <mergeCell ref="AT2:AX2"/>
    <mergeCell ref="AY2:BC2"/>
    <mergeCell ref="BD2:BH2"/>
    <mergeCell ref="BI2:BM2"/>
    <mergeCell ref="BN2:BR2"/>
    <mergeCell ref="BS2:BW2"/>
    <mergeCell ref="BX2:CB2"/>
    <mergeCell ref="A2:A3"/>
    <mergeCell ref="B2:B3"/>
    <mergeCell ref="C2:C3"/>
    <mergeCell ref="D2:D3"/>
    <mergeCell ref="E2:E3"/>
  </mergeCells>
  <conditionalFormatting sqref="F4:CB25">
    <cfRule type="cellIs" dxfId="0" priority="1" operator="equal">
      <formula>"█"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2026-07-22T07:46:01Z</dcterms:created>
  <dcterms:modified xsi:type="dcterms:W3CDTF">2026-07-31T07:06:59Z</dcterms:modified>
</cp:coreProperties>
</file>